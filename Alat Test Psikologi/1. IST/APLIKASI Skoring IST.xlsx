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20" yWindow="-120" windowWidth="19420" windowHeight="11020" activeTab="1"/>
  </bookViews>
  <sheets>
    <sheet name="Panduan" sheetId="7" r:id="rId1"/>
    <sheet name="IST" sheetId="1" r:id="rId2"/>
    <sheet name="Bantuan" sheetId="6" r:id="rId3"/>
    <sheet name="Kunci Soal 1-3,7-9" sheetId="3" state="hidden" r:id="rId4"/>
    <sheet name="KUNCI IST (2)" sheetId="4" state="hidden" r:id="rId5"/>
    <sheet name="Kunci Soal 4" sheetId="5" state="hidden" r:id="rId6"/>
  </sheets>
  <definedNames>
    <definedName name="_xlnm.Print_Area" localSheetId="1">IST!$R$13:$Y$62</definedName>
    <definedName name="_xlnm.Print_Area" localSheetId="4">'KUNCI IST (2)'!$A$1:$N$59</definedName>
    <definedName name="_xlnm.Print_Area" localSheetId="5">'Kunci Soal 4'!$A$2:$E$55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6" i="6" l="1"/>
  <c r="B4" i="6"/>
  <c r="B3" i="6"/>
  <c r="K73" i="1" l="1"/>
  <c r="K86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U23" i="1"/>
  <c r="U21" i="1"/>
  <c r="U20" i="1"/>
  <c r="U19" i="1"/>
  <c r="U18" i="1"/>
  <c r="CC7" i="1"/>
  <c r="CC9" i="1"/>
  <c r="CC11" i="1"/>
  <c r="CC13" i="1"/>
  <c r="CC15" i="1"/>
  <c r="CC17" i="1"/>
  <c r="CC19" i="1"/>
  <c r="CC21" i="1"/>
  <c r="CC23" i="1"/>
  <c r="CC25" i="1"/>
  <c r="CC27" i="1"/>
  <c r="CC29" i="1"/>
  <c r="CC31" i="1"/>
  <c r="CC33" i="1"/>
  <c r="CC35" i="1"/>
  <c r="CC37" i="1"/>
  <c r="D8" i="1"/>
  <c r="AX45" i="1" s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99" i="1"/>
  <c r="K88" i="1"/>
  <c r="K87" i="1"/>
  <c r="K85" i="1"/>
  <c r="K84" i="1"/>
  <c r="K83" i="1"/>
  <c r="K82" i="1"/>
  <c r="K81" i="1"/>
  <c r="K80" i="1"/>
  <c r="K79" i="1"/>
  <c r="K78" i="1"/>
  <c r="K77" i="1"/>
  <c r="K76" i="1"/>
  <c r="K75" i="1"/>
  <c r="K74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73" i="1"/>
  <c r="AU49" i="1" l="1"/>
  <c r="U22" i="1"/>
  <c r="AU48" i="1"/>
  <c r="B5" i="6"/>
  <c r="AU53" i="1"/>
  <c r="AU50" i="1"/>
  <c r="C119" i="1"/>
  <c r="U33" i="1" s="1"/>
  <c r="AT51" i="1" s="1"/>
  <c r="AV51" i="1" s="1"/>
  <c r="V33" i="1" s="1"/>
  <c r="W33" i="1" s="1"/>
  <c r="D15" i="6" s="1"/>
  <c r="I119" i="1"/>
  <c r="U35" i="1" s="1"/>
  <c r="AT53" i="1" s="1"/>
  <c r="AV53" i="1" s="1"/>
  <c r="V35" i="1" s="1"/>
  <c r="W35" i="1" s="1"/>
  <c r="D17" i="6" s="1"/>
  <c r="F119" i="1"/>
  <c r="U34" i="1" s="1"/>
  <c r="AT52" i="1" s="1"/>
  <c r="AV52" i="1" s="1"/>
  <c r="V34" i="1" s="1"/>
  <c r="W34" i="1" s="1"/>
  <c r="D16" i="6" s="1"/>
  <c r="O93" i="1"/>
  <c r="U32" i="1" s="1"/>
  <c r="F93" i="1"/>
  <c r="U28" i="1" s="1"/>
  <c r="AT46" i="1" s="1"/>
  <c r="AV46" i="1" s="1"/>
  <c r="V28" i="1" s="1"/>
  <c r="W28" i="1" s="1"/>
  <c r="D10" i="6" s="1"/>
  <c r="AU52" i="1"/>
  <c r="AU46" i="1"/>
  <c r="AU47" i="1"/>
  <c r="I93" i="1"/>
  <c r="U29" i="1" s="1"/>
  <c r="L119" i="1"/>
  <c r="U31" i="1" s="1"/>
  <c r="AT49" i="1" s="1"/>
  <c r="AV49" i="1" s="1"/>
  <c r="V31" i="1" s="1"/>
  <c r="W31" i="1" s="1"/>
  <c r="D13" i="6" s="1"/>
  <c r="AU51" i="1"/>
  <c r="AU45" i="1"/>
  <c r="K89" i="1"/>
  <c r="U30" i="1" s="1"/>
  <c r="AT48" i="1" s="1"/>
  <c r="AV48" i="1" s="1"/>
  <c r="V30" i="1" s="1"/>
  <c r="C93" i="1"/>
  <c r="U27" i="1" s="1"/>
  <c r="AT45" i="1" s="1"/>
  <c r="AT50" i="1" l="1"/>
  <c r="AV50" i="1" s="1"/>
  <c r="V32" i="1" s="1"/>
  <c r="W32" i="1" s="1"/>
  <c r="D14" i="6" s="1"/>
  <c r="A130" i="1"/>
  <c r="AT47" i="1"/>
  <c r="AV47" i="1" s="1"/>
  <c r="V29" i="1" s="1"/>
  <c r="B130" i="1"/>
  <c r="K90" i="1"/>
  <c r="W30" i="1"/>
  <c r="D12" i="6" s="1"/>
  <c r="U36" i="1"/>
  <c r="AV45" i="1"/>
  <c r="V27" i="1" s="1"/>
  <c r="W27" i="1" s="1"/>
  <c r="D9" i="6" s="1"/>
  <c r="X30" i="1" l="1"/>
  <c r="D21" i="6"/>
  <c r="D20" i="6"/>
  <c r="W29" i="1"/>
  <c r="D11" i="6" s="1"/>
  <c r="X31" i="1"/>
  <c r="AT54" i="1"/>
  <c r="AY45" i="1" s="1"/>
  <c r="AU54" i="1" s="1"/>
  <c r="V36" i="1" s="1"/>
  <c r="U37" i="1" s="1"/>
  <c r="W37" i="1" s="1"/>
  <c r="X32" i="1" l="1"/>
  <c r="W38" i="1" s="1"/>
</calcChain>
</file>

<file path=xl/sharedStrings.xml><?xml version="1.0" encoding="utf-8"?>
<sst xmlns="http://schemas.openxmlformats.org/spreadsheetml/2006/main" count="872" uniqueCount="314">
  <si>
    <t>Nomor</t>
  </si>
  <si>
    <t>:</t>
  </si>
  <si>
    <t>RW</t>
  </si>
  <si>
    <t>Nama</t>
  </si>
  <si>
    <t>SE</t>
  </si>
  <si>
    <t>WA</t>
  </si>
  <si>
    <t>Tgl Tes</t>
  </si>
  <si>
    <t>AN</t>
  </si>
  <si>
    <t>SARJANA MUDA</t>
  </si>
  <si>
    <t>GE</t>
  </si>
  <si>
    <t>Tujuan Tes</t>
  </si>
  <si>
    <t>ME</t>
  </si>
  <si>
    <t>RA</t>
  </si>
  <si>
    <t>ZR</t>
  </si>
  <si>
    <t>FA</t>
  </si>
  <si>
    <t>WU</t>
  </si>
  <si>
    <t>JML</t>
  </si>
  <si>
    <t>PRIA</t>
  </si>
  <si>
    <t>WANITA</t>
  </si>
  <si>
    <t>SLTP</t>
  </si>
  <si>
    <t>SLTA</t>
  </si>
  <si>
    <t>SARJANA</t>
  </si>
  <si>
    <t>SW</t>
  </si>
  <si>
    <t>No</t>
  </si>
  <si>
    <t>e</t>
  </si>
  <si>
    <t>c</t>
  </si>
  <si>
    <t>d</t>
  </si>
  <si>
    <t>b</t>
  </si>
  <si>
    <t>a</t>
  </si>
  <si>
    <t>Skor</t>
  </si>
  <si>
    <t>Kunci Jawaban SE</t>
  </si>
  <si>
    <t>Kunci Jawaban WA</t>
  </si>
  <si>
    <t>Kunci Jawaban AN</t>
  </si>
  <si>
    <t>Skor GE</t>
  </si>
  <si>
    <t>Konversi GE</t>
  </si>
  <si>
    <t>Kunci Jawaban RA</t>
  </si>
  <si>
    <t>Kunci Jawaban ZR</t>
  </si>
  <si>
    <t>Kunci Jawaban FA</t>
  </si>
  <si>
    <t>Kunci Jawaban WU</t>
  </si>
  <si>
    <t>Kunci Jawaban ME</t>
  </si>
  <si>
    <t>Tgl Lahir</t>
  </si>
  <si>
    <t>Usia</t>
  </si>
  <si>
    <t>th</t>
  </si>
  <si>
    <t>15 tahun</t>
  </si>
  <si>
    <t>16 tahun</t>
  </si>
  <si>
    <t>17 tahun</t>
  </si>
  <si>
    <t>18 tahun</t>
  </si>
  <si>
    <t>13 tahun</t>
  </si>
  <si>
    <t>14 tahun</t>
  </si>
  <si>
    <t>&lt;20</t>
  </si>
  <si>
    <t>&lt;24</t>
  </si>
  <si>
    <t>&lt;28</t>
  </si>
  <si>
    <t>&lt;33</t>
  </si>
  <si>
    <t>&lt;39</t>
  </si>
  <si>
    <t>&lt;45</t>
  </si>
  <si>
    <t>&lt;60</t>
  </si>
  <si>
    <t>&lt;=20 tahun</t>
  </si>
  <si>
    <t>&lt;=24 tahun</t>
  </si>
  <si>
    <t>&lt;=28 tahun</t>
  </si>
  <si>
    <t>&lt;=33 tahun</t>
  </si>
  <si>
    <t>&lt;=39 tahun</t>
  </si>
  <si>
    <t>&lt;=45 tahun</t>
  </si>
  <si>
    <t>&gt;45 tahun</t>
  </si>
  <si>
    <t>Gesamt</t>
  </si>
  <si>
    <t>Kategori</t>
  </si>
  <si>
    <t>IQ</t>
  </si>
  <si>
    <t>Dominasi</t>
  </si>
  <si>
    <t>Rekrutmen</t>
  </si>
  <si>
    <t>Aplikasi Skoring IST</t>
  </si>
  <si>
    <t xml:space="preserve"> HASIL TES </t>
  </si>
  <si>
    <t>Laporan Hasil Skoring</t>
  </si>
  <si>
    <t>Perhatian: Petugas Skoring hanya boleh mengisi di dalam tabel!</t>
  </si>
  <si>
    <t>Jawaban Subjek</t>
  </si>
  <si>
    <t>Nama Subjek</t>
  </si>
  <si>
    <t>PANDUAN</t>
  </si>
  <si>
    <t>Dapatkan jawaban dalam lembar jawaban yang tersedia dengan melakukan sesi psikotes dengan subyek yang di tes</t>
  </si>
  <si>
    <t>Setelah ada jawaban, buka aplikasi Skoring IST memakai excel 2010 ke atas</t>
  </si>
  <si>
    <t>Isikan Data pribadi Peserta terlebih dahulu</t>
  </si>
  <si>
    <t>Input jawaban klien di kolom yang disediakan, gunakan huruf kapital untuk pilihan ganda dan masukan angka exact sesuai jawaban</t>
  </si>
  <si>
    <t>Jawaban Peserta</t>
  </si>
  <si>
    <t>Opsi yang ada</t>
  </si>
  <si>
    <t>Jenis bunga</t>
  </si>
  <si>
    <t>kembang</t>
  </si>
  <si>
    <t>tanaman</t>
  </si>
  <si>
    <t>akar serabut</t>
  </si>
  <si>
    <t>tidak cocok</t>
  </si>
  <si>
    <t>Khusus nomor 61-76 pilih opsi yang paling mendekati jawaban dari peserta, klik pada kotak jawaban untuk memilih opsi yang ada, pilih tidak cocok bila jawaban peserta tidak ada yang mendekati opsi</t>
  </si>
  <si>
    <t>SILAHKAN COBA:</t>
  </si>
  <si>
    <t>klik di Kolom ini</t>
  </si>
  <si>
    <t>Setelah terisi hasil tes akan muncul pada tabel, inilah yang dipakai untuk membuat pelaporan</t>
  </si>
  <si>
    <t>D</t>
  </si>
  <si>
    <t>C</t>
  </si>
  <si>
    <t>A</t>
  </si>
  <si>
    <t>E</t>
  </si>
  <si>
    <t>B</t>
  </si>
  <si>
    <t>IX</t>
  </si>
  <si>
    <t>NO.</t>
  </si>
  <si>
    <t>VIII</t>
  </si>
  <si>
    <t>VII</t>
  </si>
  <si>
    <t>VI</t>
  </si>
  <si>
    <t>V</t>
  </si>
  <si>
    <t>III</t>
  </si>
  <si>
    <t>II</t>
  </si>
  <si>
    <t>I</t>
  </si>
  <si>
    <t>SUBTES</t>
  </si>
  <si>
    <t>LEMBAR JAWABAN I.S.T.</t>
  </si>
  <si>
    <t>L / P</t>
  </si>
  <si>
    <t>Tempat Tanggal Lahir</t>
  </si>
  <si>
    <t>Usia:</t>
  </si>
  <si>
    <t>Thn</t>
  </si>
  <si>
    <t>Pendidikan Terakhir</t>
  </si>
  <si>
    <t>Tujuan Pemeriksaan</t>
  </si>
  <si>
    <t>Tanggal Pemeriksaan</t>
  </si>
  <si>
    <t>SUBTES 1</t>
  </si>
  <si>
    <t>SUBTES 2</t>
  </si>
  <si>
    <t>SUBTES 3</t>
  </si>
  <si>
    <t>SUBTES 4</t>
  </si>
  <si>
    <t xml:space="preserve">No. </t>
  </si>
  <si>
    <t>Jawaban</t>
  </si>
  <si>
    <t>SUBTES 5</t>
  </si>
  <si>
    <t>SUBTES 6</t>
  </si>
  <si>
    <t>SUBTES 7</t>
  </si>
  <si>
    <t>SUBTES 8</t>
  </si>
  <si>
    <t>SUBTES 9</t>
  </si>
  <si>
    <t>- Penentuan Daerah</t>
  </si>
  <si>
    <t>- Tingkatan  - Kata</t>
  </si>
  <si>
    <t>- Letak  - penunjuk tempat</t>
  </si>
  <si>
    <t>- Penyebut ruang</t>
  </si>
  <si>
    <t>- Daerah   - Ruangan</t>
  </si>
  <si>
    <t>- Arah    - Tempat/ruang</t>
  </si>
  <si>
    <t>- Pengertian ruang</t>
  </si>
  <si>
    <t>Atas - Bawah</t>
  </si>
  <si>
    <t>76.</t>
  </si>
  <si>
    <t>- Niaga   - Jual beli</t>
  </si>
  <si>
    <t>- Penjualan</t>
  </si>
  <si>
    <t>- Pengertian Ekonomi</t>
  </si>
  <si>
    <t>Permintaan</t>
  </si>
  <si>
    <t>- Lawan kata</t>
  </si>
  <si>
    <t>- Dagang    - Pembelian</t>
  </si>
  <si>
    <t>- Regulator harga</t>
  </si>
  <si>
    <t xml:space="preserve">Penawaran - </t>
  </si>
  <si>
    <t>75.</t>
  </si>
  <si>
    <t>- Watak</t>
  </si>
  <si>
    <t>- Sifat Karakter</t>
  </si>
  <si>
    <t>- Uang    - Karakter</t>
  </si>
  <si>
    <t>- Sifat</t>
  </si>
  <si>
    <t>- Kata Sifat   - Watak</t>
  </si>
  <si>
    <t>Kikir - Boros</t>
  </si>
  <si>
    <t>74.</t>
  </si>
  <si>
    <t>- Buku</t>
  </si>
  <si>
    <t>- Masa/saat</t>
  </si>
  <si>
    <t>- Batas</t>
  </si>
  <si>
    <t>- Kata Waktu</t>
  </si>
  <si>
    <t>- Waktu   - Lamanya</t>
  </si>
  <si>
    <t>- Pengertian Waktu</t>
  </si>
  <si>
    <t>Awal - Akhir</t>
  </si>
  <si>
    <t>73.</t>
  </si>
  <si>
    <t>- Tempat   - Benda</t>
  </si>
  <si>
    <t>- Tempat Penyimpan</t>
  </si>
  <si>
    <t>- Lubang</t>
  </si>
  <si>
    <t>- Alat    - Tempat sesuatu</t>
  </si>
  <si>
    <t>- Wadah  - Tempat pengisi</t>
  </si>
  <si>
    <t>Ember - Kontong</t>
  </si>
  <si>
    <t>72.</t>
  </si>
  <si>
    <t>- Hayat</t>
  </si>
  <si>
    <t>- Biologi</t>
  </si>
  <si>
    <t>- Makhluk Hidup</t>
  </si>
  <si>
    <t>- Hidup  - Hutan</t>
  </si>
  <si>
    <t>- Tumbuh   - Ilmu hayat</t>
  </si>
  <si>
    <t>- Makhluk  - Organism</t>
  </si>
  <si>
    <t>Rumput - Gajah</t>
  </si>
  <si>
    <t>71.</t>
  </si>
  <si>
    <t>- Tanda Pengenal</t>
  </si>
  <si>
    <t>- Lambang   - Tanda</t>
  </si>
  <si>
    <t>- Warna</t>
  </si>
  <si>
    <t>- Nama</t>
  </si>
  <si>
    <t>- Simbol</t>
  </si>
  <si>
    <t>Bendera - Lencana</t>
  </si>
  <si>
    <t>70.</t>
  </si>
  <si>
    <t>- Permulaan Penghidupan</t>
  </si>
  <si>
    <t>- Keturunan</t>
  </si>
  <si>
    <t>- Pembiakan</t>
  </si>
  <si>
    <t>- Alat Pembiak</t>
  </si>
  <si>
    <t>- Pertanian</t>
  </si>
  <si>
    <t xml:space="preserve">- Sel </t>
  </si>
  <si>
    <t>- Bibit/bakal/embrio</t>
  </si>
  <si>
    <t>Telur - Benih</t>
  </si>
  <si>
    <t>69.</t>
  </si>
  <si>
    <t>- Penyertaan Jumlah</t>
  </si>
  <si>
    <t>- Ukuran</t>
  </si>
  <si>
    <t>- Penyebut Jumlah</t>
  </si>
  <si>
    <t>- Uang</t>
  </si>
  <si>
    <t>- Mengukur</t>
  </si>
  <si>
    <t>- Jumlah/Kuantitas</t>
  </si>
  <si>
    <t>Banyak - Sedikit</t>
  </si>
  <si>
    <t>68.</t>
  </si>
  <si>
    <t>- Pencernaan Makanan</t>
  </si>
  <si>
    <t>- Perut    - Isi Perut</t>
  </si>
  <si>
    <t>- Makanan</t>
  </si>
  <si>
    <t>- Jalan Makanan</t>
  </si>
  <si>
    <t>- Alat Pencernaan</t>
  </si>
  <si>
    <t>Lambung - Usus</t>
  </si>
  <si>
    <t>67.</t>
  </si>
  <si>
    <t>- Alat Melihat</t>
  </si>
  <si>
    <t>- Optik</t>
  </si>
  <si>
    <t>- Melihat  - alat</t>
  </si>
  <si>
    <t>- Lensa</t>
  </si>
  <si>
    <t>- alat optik</t>
  </si>
  <si>
    <t>Kamera - Kacamata</t>
  </si>
  <si>
    <t>66.</t>
  </si>
  <si>
    <t>- Komunikasi</t>
  </si>
  <si>
    <t>- Perhubungan</t>
  </si>
  <si>
    <t>- Alat Perhubungan</t>
  </si>
  <si>
    <t>Telepon</t>
  </si>
  <si>
    <t>- Telekomunikasi</t>
  </si>
  <si>
    <t>- Pembawa Berita</t>
  </si>
  <si>
    <t>Pengantar Surat -</t>
  </si>
  <si>
    <t>65.</t>
  </si>
  <si>
    <t>- Iklim</t>
  </si>
  <si>
    <t>- Cuaca</t>
  </si>
  <si>
    <t>- Musim</t>
  </si>
  <si>
    <t>Salju - Hujan</t>
  </si>
  <si>
    <t>64.</t>
  </si>
  <si>
    <t>- Mengkilat   - Bening</t>
  </si>
  <si>
    <t>- Zat arang</t>
  </si>
  <si>
    <t>- Berkilauan</t>
  </si>
  <si>
    <t>- Hablur       - Kristal</t>
  </si>
  <si>
    <t>Gula - Intan</t>
  </si>
  <si>
    <t>63.</t>
  </si>
  <si>
    <t>- Alat tubuh</t>
  </si>
  <si>
    <t>- Panca Indera</t>
  </si>
  <si>
    <t>- Kepala</t>
  </si>
  <si>
    <t>- Organ</t>
  </si>
  <si>
    <t>- Alat indera - Indera</t>
  </si>
  <si>
    <t>Mata - Telinga</t>
  </si>
  <si>
    <t>62.</t>
  </si>
  <si>
    <t>- Tangkai     - Harum</t>
  </si>
  <si>
    <t>- Perdu</t>
  </si>
  <si>
    <t>- Pohon</t>
  </si>
  <si>
    <t>- Tumbuh-tumbuhan</t>
  </si>
  <si>
    <t>- Bunga   - Kembang</t>
  </si>
  <si>
    <t>Mawar - Melati</t>
  </si>
  <si>
    <t>61.</t>
  </si>
  <si>
    <t>SKOR 0</t>
  </si>
  <si>
    <t>SKOR 1</t>
  </si>
  <si>
    <t>SKOR 2</t>
  </si>
  <si>
    <t>SOAL</t>
  </si>
  <si>
    <t>KUNCI JAWABAN KELOMPOK SOAL 4</t>
  </si>
  <si>
    <t>BANTUAN INTERPRETASI</t>
  </si>
  <si>
    <t>NAMA</t>
  </si>
  <si>
    <t>NO</t>
  </si>
  <si>
    <t>TGL TES</t>
  </si>
  <si>
    <t>ASPEK YG DI UKUR</t>
  </si>
  <si>
    <t>ASPEK TERUKUR</t>
  </si>
  <si>
    <t>SE (Satzerganzng)</t>
  </si>
  <si>
    <t>WA (Wortausuahl)</t>
  </si>
  <si>
    <t>AN (Analogien)</t>
  </si>
  <si>
    <t>GE (Gmeisamkeiten)</t>
  </si>
  <si>
    <t>RA (Rechen Aufgaben)</t>
  </si>
  <si>
    <t>ZR (Zahlen Reihen)</t>
  </si>
  <si>
    <t>FA (Form Ausuahl)</t>
  </si>
  <si>
    <t>WU (Wurfal Aufgaben)</t>
  </si>
  <si>
    <t>ME (Merk Aufgaben)</t>
  </si>
  <si>
    <t>Pembentukan keputusan, common sense (memanfaatkan pengalaman masa lalu), pebekanan pada praktis-konkrit,pemaknaan realitas dan berpikir secara mandiri</t>
  </si>
  <si>
    <t>Kemampuan bahasa,perasaan empati, berpikir induktif menggunakan bahasa dan memahami pengertian bahasa</t>
  </si>
  <si>
    <t>Kemampuan fleksibilitas dalam berpikir, daya mengkombinasikan, mendeteksi dan memindahkan hubungan-hubungan,serta kejelasan dan kenkonsekuenan dalam berpikir</t>
  </si>
  <si>
    <t>Abstraksi verbal, kemampuan untuk menyatakan pengertian akan sesuatu dalam bentuk bahasa, membentuk suatu pengertian atau mencari inti persoalan serta berpikir logis dalam suatu bahasa</t>
  </si>
  <si>
    <t>Kemampuan berpikir praktis dalam berhitung, berpikir induktif, reasoning dan kemampuan mengambil kesimpulan</t>
  </si>
  <si>
    <t>Berpikir teoritis dengan hitungan,berpikir induktif dengan angka-angka,serta kelincahan dalam berpikir</t>
  </si>
  <si>
    <t>membayangngkan,kemampuan mengkonstruksi (sintesa dan analisa), berpikir konkrit menyeluruh serta memasukan bagian pada keseluruhan</t>
  </si>
  <si>
    <t>Daya bayang ruang, kemampuan tiga dimensi, analitis serta kemampuan konstruktif teknis</t>
  </si>
  <si>
    <t>Daya ingat, konsentrasi yang menetap dan daya tahan</t>
  </si>
  <si>
    <t>Berpikir Konkrit Praktis,
Berpikir Logis,
Akal Sehat(Common Sense), 
Pembentukan Keputusan,
Pemaknaan Realita,
Berpikir mandiri</t>
  </si>
  <si>
    <t>Rasa bahasa,
berpikir verbal, 
pengertian bahasa, 
kemampuan empati (menghayati), komponen reseptif</t>
  </si>
  <si>
    <t>Daya mengkombinasikan,
fleksibilitas/kelincahan berpikir,
Mentransfer hubungan,
Kejelasan dan konsekuen dalam berpikir,
Analisa yang bersifat dugaan,
Suatu perkiraan yang paling berarti dalam pengembangan studi ilmiah</t>
  </si>
  <si>
    <t>Daya atraksi verbal,
Pembentukan konsep (Pengertian),
Berpikir logis dalam bentuk bahasa</t>
  </si>
  <si>
    <t>Berpikir praktis dalam masalah hitungan,
berpikir logis objektif,
berpikir matematis,
mengambil keputusan</t>
  </si>
  <si>
    <t>Berpikir teoritis dalam berhitung,
berpikir induktif angka,
kelincahan berpikir,
mengenali komponen ritmis</t>
  </si>
  <si>
    <t>Kemampuan membayangkan,
Kemampuan mengamati,
berpikir secara utuh menyeluruh,
mengenali komponen konstruktif</t>
  </si>
  <si>
    <t>Daya bayang ruang, 
Mengenali konstruksi teknis,
berpikir analitis</t>
  </si>
  <si>
    <t>Atensi,
Memori mengingat kata yang telah dipelajari</t>
  </si>
  <si>
    <t>HASIL TES</t>
  </si>
  <si>
    <t>Corak Berpikir</t>
  </si>
  <si>
    <t>Festigung Flexibitat merupakan dua kutub pemikiran yang ekstrim. Kutub Festigung artinya mengarah ke berpikir Exact, sementara Flexibitat mengarah ke ke berpikir non-exact. Akan lebih condong ke salah satu seiring dengan bertambahnya usia</t>
  </si>
  <si>
    <t>Festigung (Pola Pemikiran exact)</t>
  </si>
  <si>
    <t>Flexibitat (Pola Pemikiran non-exact)</t>
  </si>
  <si>
    <t>hitungan GE-RA</t>
  </si>
  <si>
    <t>hitungan AN-ZR</t>
  </si>
  <si>
    <t>Cara Berpikir</t>
  </si>
  <si>
    <t>Untuk menentukan cara berpikir silahkan lihat grafik hasil tes untuk 4 subtes pertama (SE,WA,AN,GE) jika grafik berbentuk M maka peserta tes memiliki cara berpikir "M", jika berbentuk W maka cara berpikir W, lihat keterangan pada tabel disamping. Jika bentuknya kurang jelas maka tidak bisa ditentukan</t>
  </si>
  <si>
    <t>M
(Verbal-Teoritis)</t>
  </si>
  <si>
    <t>W
(Praktis-Konkrit)</t>
  </si>
  <si>
    <t>Lihat grafik dan tuliskan YES disini jika M</t>
  </si>
  <si>
    <t>Lihat grafik dan tuliskan YES disini jika W</t>
  </si>
  <si>
    <t>USIA</t>
  </si>
  <si>
    <t>Sangat Tinggi</t>
  </si>
  <si>
    <t>Tinggi</t>
  </si>
  <si>
    <t>Sangat Bagus</t>
  </si>
  <si>
    <t>Bagus</t>
  </si>
  <si>
    <t>Sedang</t>
  </si>
  <si>
    <t>Rata Rata</t>
  </si>
  <si>
    <t>Rendah</t>
  </si>
  <si>
    <t xml:space="preserve">Sangat Rendah </t>
  </si>
  <si>
    <t>Kesulitan melakukan</t>
  </si>
  <si>
    <t>Tidak bisa semua</t>
  </si>
  <si>
    <t>Keterangan</t>
  </si>
  <si>
    <t>PROFIL POLA PIKIR</t>
  </si>
  <si>
    <t>PERHATIAN</t>
  </si>
  <si>
    <t>Bagian bantuan ini hanya berfungsi memberikan bantuan pemahaman terhadap hasil tes dan tidak bisa dijadikan referensi pengambilan keputusan, anda tetap harus mengacu kepada hasil tes pada worksheet "IST"</t>
  </si>
  <si>
    <t>Gunakan worksheet "Bantuan" jika anda tidak paham hasil nomor 6</t>
  </si>
  <si>
    <t>klik untuk pilih</t>
  </si>
  <si>
    <t>Klik untuk pilih</t>
  </si>
  <si>
    <t>Arman</t>
  </si>
  <si>
    <t>Oleh Ebookku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</si>
</sst>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[$-421]dd\ mmmm\ yyyy;@"/>
  </numFmts>
  <fonts count="34">
    <font>
      <sz val="10"/>
      <name val="Arial"/>
    </font>
    <font>
      <sz val="10"/>
      <name val="Arial"/>
      <family val="2"/>
    </font>
    <font>
      <b/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20"/>
      <name val="Arial"/>
      <family val="2"/>
    </font>
    <font>
      <i/>
      <sz val="10"/>
      <color indexed="12"/>
      <name val="Bangle"/>
    </font>
    <font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name val="Arial Narrow"/>
      <family val="2"/>
    </font>
    <font>
      <i/>
      <sz val="10"/>
      <name val="Arial Narrow"/>
      <family val="2"/>
    </font>
    <font>
      <b/>
      <sz val="1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24"/>
      <color theme="0"/>
      <name val="Arial Black"/>
      <family val="2"/>
    </font>
    <font>
      <sz val="10"/>
      <color theme="0"/>
      <name val="Arial"/>
      <family val="2"/>
    </font>
    <font>
      <b/>
      <sz val="12"/>
      <color theme="0"/>
      <name val="Copperplate Gothic Bold"/>
      <family val="2"/>
    </font>
    <font>
      <b/>
      <sz val="12"/>
      <color theme="3" tint="0.39997558519241921"/>
      <name val="Arial Black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0"/>
      <name val="Arial"/>
    </font>
    <font>
      <b/>
      <u/>
      <sz val="10"/>
      <color rgb="FF00B050"/>
      <name val="Arial"/>
      <family val="2"/>
    </font>
    <font>
      <sz val="16"/>
      <name val="Arial"/>
      <family val="2"/>
    </font>
    <font>
      <sz val="18"/>
      <name val="Arial"/>
      <family val="2"/>
    </font>
    <font>
      <b/>
      <sz val="20"/>
      <name val="Arial"/>
      <family val="2"/>
    </font>
    <font>
      <b/>
      <sz val="18"/>
      <color theme="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DEDD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23" fillId="0" borderId="0"/>
    <xf numFmtId="0" fontId="28" fillId="0" borderId="0" applyNumberFormat="0" applyFill="0" applyBorder="0" applyAlignment="0" applyProtection="0"/>
  </cellStyleXfs>
  <cellXfs count="224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/>
    <xf numFmtId="0" fontId="7" fillId="2" borderId="0" xfId="0" applyFont="1" applyFill="1"/>
    <xf numFmtId="0" fontId="1" fillId="2" borderId="0" xfId="0" applyFont="1" applyFill="1"/>
    <xf numFmtId="0" fontId="7" fillId="2" borderId="0" xfId="0" applyFont="1" applyFill="1" applyAlignment="1"/>
    <xf numFmtId="0" fontId="8" fillId="0" borderId="1" xfId="0" applyFont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9" fillId="4" borderId="1" xfId="0" applyFont="1" applyFill="1" applyBorder="1" applyAlignment="1" applyProtection="1">
      <alignment horizontal="center"/>
      <protection locked="0"/>
    </xf>
    <xf numFmtId="0" fontId="14" fillId="11" borderId="2" xfId="0" applyFont="1" applyFill="1" applyBorder="1" applyAlignment="1" applyProtection="1">
      <alignment horizontal="center"/>
      <protection hidden="1"/>
    </xf>
    <xf numFmtId="0" fontId="9" fillId="12" borderId="2" xfId="0" applyFont="1" applyFill="1" applyBorder="1" applyAlignment="1" applyProtection="1">
      <alignment horizontal="center"/>
      <protection hidden="1"/>
    </xf>
    <xf numFmtId="0" fontId="9" fillId="13" borderId="2" xfId="0" applyFont="1" applyFill="1" applyBorder="1" applyAlignment="1" applyProtection="1">
      <alignment horizontal="center"/>
      <protection hidden="1"/>
    </xf>
    <xf numFmtId="0" fontId="0" fillId="5" borderId="1" xfId="0" applyFill="1" applyBorder="1" applyAlignment="1" applyProtection="1">
      <alignment horizontal="center"/>
      <protection locked="0"/>
    </xf>
    <xf numFmtId="0" fontId="14" fillId="0" borderId="0" xfId="0" applyFont="1" applyProtection="1"/>
    <xf numFmtId="0" fontId="9" fillId="0" borderId="0" xfId="0" applyFont="1" applyAlignment="1" applyProtection="1">
      <alignment horizontal="center"/>
    </xf>
    <xf numFmtId="0" fontId="15" fillId="10" borderId="0" xfId="0" applyFont="1" applyFill="1" applyBorder="1" applyAlignment="1" applyProtection="1">
      <alignment horizontal="center"/>
      <protection hidden="1"/>
    </xf>
    <xf numFmtId="0" fontId="15" fillId="2" borderId="0" xfId="0" applyFont="1" applyFill="1"/>
    <xf numFmtId="0" fontId="15" fillId="10" borderId="2" xfId="0" applyFont="1" applyFill="1" applyBorder="1" applyAlignment="1" applyProtection="1">
      <alignment horizontal="center"/>
      <protection hidden="1"/>
    </xf>
    <xf numFmtId="0" fontId="8" fillId="14" borderId="2" xfId="0" applyFont="1" applyFill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0" fillId="5" borderId="1" xfId="0" applyFill="1" applyBorder="1" applyAlignment="1" applyProtection="1">
      <alignment horizontal="center"/>
      <protection hidden="1"/>
    </xf>
    <xf numFmtId="1" fontId="0" fillId="5" borderId="1" xfId="0" applyNumberFormat="1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9" fillId="4" borderId="1" xfId="0" applyFont="1" applyFill="1" applyBorder="1" applyAlignment="1" applyProtection="1">
      <alignment horizontal="center"/>
      <protection hidden="1"/>
    </xf>
    <xf numFmtId="0" fontId="0" fillId="6" borderId="1" xfId="0" applyFill="1" applyBorder="1" applyAlignment="1" applyProtection="1">
      <alignment horizontal="center"/>
      <protection hidden="1"/>
    </xf>
    <xf numFmtId="0" fontId="0" fillId="7" borderId="1" xfId="0" applyFill="1" applyBorder="1" applyAlignment="1" applyProtection="1">
      <alignment horizontal="center"/>
      <protection hidden="1"/>
    </xf>
    <xf numFmtId="0" fontId="0" fillId="15" borderId="1" xfId="0" applyFill="1" applyBorder="1" applyAlignment="1" applyProtection="1">
      <alignment horizontal="center"/>
      <protection hidden="1"/>
    </xf>
    <xf numFmtId="0" fontId="0" fillId="16" borderId="1" xfId="0" applyFill="1" applyBorder="1" applyAlignment="1" applyProtection="1">
      <alignment horizontal="center"/>
      <protection hidden="1"/>
    </xf>
    <xf numFmtId="0" fontId="0" fillId="8" borderId="1" xfId="0" applyFill="1" applyBorder="1" applyAlignment="1" applyProtection="1">
      <alignment horizontal="center"/>
      <protection hidden="1"/>
    </xf>
    <xf numFmtId="0" fontId="0" fillId="9" borderId="1" xfId="0" applyFill="1" applyBorder="1" applyAlignment="1" applyProtection="1">
      <alignment horizontal="center"/>
      <protection hidden="1"/>
    </xf>
    <xf numFmtId="0" fontId="8" fillId="0" borderId="0" xfId="0" applyFont="1" applyProtection="1">
      <protection hidden="1"/>
    </xf>
    <xf numFmtId="0" fontId="1" fillId="10" borderId="3" xfId="0" applyFont="1" applyFill="1" applyBorder="1" applyAlignment="1" applyProtection="1">
      <alignment horizontal="center"/>
      <protection hidden="1"/>
    </xf>
    <xf numFmtId="0" fontId="1" fillId="14" borderId="4" xfId="0" applyFont="1" applyFill="1" applyBorder="1" applyAlignment="1" applyProtection="1">
      <alignment horizontal="center"/>
      <protection hidden="1"/>
    </xf>
    <xf numFmtId="0" fontId="0" fillId="14" borderId="4" xfId="0" applyFill="1" applyBorder="1" applyAlignment="1" applyProtection="1">
      <alignment horizontal="center"/>
      <protection hidden="1"/>
    </xf>
    <xf numFmtId="0" fontId="9" fillId="4" borderId="5" xfId="0" applyFont="1" applyFill="1" applyBorder="1" applyAlignment="1" applyProtection="1">
      <alignment horizontal="center"/>
      <protection hidden="1"/>
    </xf>
    <xf numFmtId="0" fontId="1" fillId="14" borderId="2" xfId="0" applyFont="1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1" fillId="14" borderId="1" xfId="0" applyFont="1" applyFill="1" applyBorder="1" applyAlignment="1" applyProtection="1">
      <alignment horizontal="center"/>
      <protection hidden="1"/>
    </xf>
    <xf numFmtId="0" fontId="0" fillId="2" borderId="6" xfId="0" applyFill="1" applyBorder="1"/>
    <xf numFmtId="0" fontId="0" fillId="10" borderId="5" xfId="0" applyFill="1" applyBorder="1" applyAlignment="1" applyProtection="1">
      <alignment horizontal="center"/>
      <protection hidden="1"/>
    </xf>
    <xf numFmtId="0" fontId="8" fillId="3" borderId="1" xfId="0" applyFont="1" applyFill="1" applyBorder="1" applyAlignment="1" applyProtection="1">
      <alignment horizontal="center"/>
      <protection locked="0"/>
    </xf>
    <xf numFmtId="0" fontId="8" fillId="3" borderId="1" xfId="1" applyFill="1" applyBorder="1" applyAlignment="1" applyProtection="1">
      <alignment horizontal="center"/>
      <protection locked="0"/>
    </xf>
    <xf numFmtId="0" fontId="0" fillId="2" borderId="13" xfId="0" applyFill="1" applyBorder="1"/>
    <xf numFmtId="0" fontId="0" fillId="2" borderId="0" xfId="0" applyFill="1" applyBorder="1"/>
    <xf numFmtId="0" fontId="0" fillId="2" borderId="14" xfId="0" applyFill="1" applyBorder="1"/>
    <xf numFmtId="0" fontId="17" fillId="2" borderId="0" xfId="0" applyFont="1" applyFill="1" applyBorder="1" applyProtection="1">
      <protection hidden="1"/>
    </xf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1" fillId="10" borderId="0" xfId="0" applyFont="1" applyFill="1" applyBorder="1" applyAlignment="1" applyProtection="1">
      <alignment horizontal="center"/>
      <protection locked="0"/>
    </xf>
    <xf numFmtId="0" fontId="8" fillId="2" borderId="0" xfId="0" applyFont="1" applyFill="1" applyBorder="1" applyProtection="1">
      <protection hidden="1"/>
    </xf>
    <xf numFmtId="0" fontId="11" fillId="19" borderId="0" xfId="0" applyFont="1" applyFill="1" applyBorder="1" applyProtection="1">
      <protection hidden="1"/>
    </xf>
    <xf numFmtId="0" fontId="19" fillId="2" borderId="0" xfId="0" applyFont="1" applyFill="1" applyBorder="1"/>
    <xf numFmtId="0" fontId="10" fillId="20" borderId="0" xfId="0" applyFont="1" applyFill="1" applyBorder="1" applyProtection="1">
      <protection locked="0"/>
    </xf>
    <xf numFmtId="0" fontId="9" fillId="20" borderId="0" xfId="0" applyFont="1" applyFill="1" applyBorder="1" applyProtection="1">
      <protection locked="0"/>
    </xf>
    <xf numFmtId="0" fontId="1" fillId="16" borderId="0" xfId="0" applyFont="1" applyFill="1" applyBorder="1" applyAlignment="1" applyProtection="1">
      <alignment horizontal="center"/>
      <protection locked="0"/>
    </xf>
    <xf numFmtId="0" fontId="8" fillId="16" borderId="0" xfId="0" applyFont="1" applyFill="1" applyBorder="1" applyAlignment="1" applyProtection="1">
      <alignment horizontal="center"/>
      <protection locked="0"/>
    </xf>
    <xf numFmtId="0" fontId="8" fillId="16" borderId="0" xfId="0" applyFont="1" applyFill="1" applyBorder="1" applyAlignment="1" applyProtection="1">
      <alignment horizontal="center"/>
      <protection hidden="1"/>
    </xf>
    <xf numFmtId="0" fontId="9" fillId="21" borderId="0" xfId="0" applyFont="1" applyFill="1" applyBorder="1" applyAlignment="1" applyProtection="1">
      <alignment horizontal="center"/>
      <protection hidden="1"/>
    </xf>
    <xf numFmtId="0" fontId="9" fillId="22" borderId="0" xfId="0" applyFont="1" applyFill="1" applyBorder="1" applyAlignment="1" applyProtection="1">
      <alignment horizontal="center"/>
      <protection hidden="1"/>
    </xf>
    <xf numFmtId="0" fontId="20" fillId="23" borderId="0" xfId="0" applyFont="1" applyFill="1" applyBorder="1" applyAlignment="1" applyProtection="1">
      <alignment horizontal="center"/>
      <protection hidden="1"/>
    </xf>
    <xf numFmtId="0" fontId="8" fillId="24" borderId="0" xfId="0" applyFont="1" applyFill="1" applyBorder="1" applyProtection="1">
      <protection hidden="1"/>
    </xf>
    <xf numFmtId="0" fontId="8" fillId="14" borderId="0" xfId="0" applyFont="1" applyFill="1" applyBorder="1" applyProtection="1">
      <protection hidden="1"/>
    </xf>
    <xf numFmtId="0" fontId="2" fillId="16" borderId="6" xfId="0" applyFont="1" applyFill="1" applyBorder="1" applyAlignment="1">
      <alignment horizontal="right"/>
    </xf>
    <xf numFmtId="0" fontId="9" fillId="25" borderId="1" xfId="0" applyFont="1" applyFill="1" applyBorder="1" applyAlignment="1" applyProtection="1">
      <alignment horizontal="center"/>
    </xf>
    <xf numFmtId="0" fontId="8" fillId="0" borderId="0" xfId="0" applyFont="1"/>
    <xf numFmtId="0" fontId="0" fillId="0" borderId="0" xfId="0" applyBorder="1" applyAlignment="1"/>
    <xf numFmtId="0" fontId="9" fillId="25" borderId="1" xfId="0" applyFont="1" applyFill="1" applyBorder="1"/>
    <xf numFmtId="0" fontId="15" fillId="14" borderId="0" xfId="0" applyFont="1" applyFill="1"/>
    <xf numFmtId="0" fontId="13" fillId="0" borderId="0" xfId="0" applyFont="1"/>
    <xf numFmtId="0" fontId="22" fillId="0" borderId="0" xfId="0" applyFont="1"/>
    <xf numFmtId="0" fontId="1" fillId="0" borderId="0" xfId="0" applyFont="1"/>
    <xf numFmtId="0" fontId="9" fillId="25" borderId="1" xfId="0" applyFont="1" applyFill="1" applyBorder="1" applyAlignment="1" applyProtection="1">
      <alignment horizontal="center"/>
      <protection hidden="1"/>
    </xf>
    <xf numFmtId="0" fontId="8" fillId="0" borderId="1" xfId="0" applyFont="1" applyBorder="1" applyAlignment="1" applyProtection="1">
      <alignment horizontal="center"/>
      <protection hidden="1"/>
    </xf>
    <xf numFmtId="0" fontId="8" fillId="0" borderId="1" xfId="0" applyFont="1" applyBorder="1" applyAlignment="1" applyProtection="1">
      <protection locked="0" hidden="1"/>
    </xf>
    <xf numFmtId="0" fontId="0" fillId="0" borderId="1" xfId="0" applyBorder="1" applyAlignment="1" applyProtection="1">
      <protection locked="0" hidden="1"/>
    </xf>
    <xf numFmtId="0" fontId="23" fillId="0" borderId="0" xfId="2"/>
    <xf numFmtId="0" fontId="24" fillId="0" borderId="0" xfId="2" applyFont="1"/>
    <xf numFmtId="1" fontId="24" fillId="0" borderId="0" xfId="2" applyNumberFormat="1" applyFont="1"/>
    <xf numFmtId="0" fontId="23" fillId="0" borderId="0" xfId="2" quotePrefix="1"/>
    <xf numFmtId="16" fontId="23" fillId="0" borderId="0" xfId="2" applyNumberFormat="1"/>
    <xf numFmtId="0" fontId="23" fillId="26" borderId="1" xfId="2" applyFill="1" applyBorder="1" applyAlignment="1">
      <alignment horizontal="center" vertical="center"/>
    </xf>
    <xf numFmtId="0" fontId="25" fillId="27" borderId="0" xfId="2" applyFont="1" applyFill="1" applyAlignment="1">
      <alignment horizontal="center" vertical="center"/>
    </xf>
    <xf numFmtId="0" fontId="23" fillId="0" borderId="0" xfId="2" applyAlignment="1">
      <alignment horizontal="center" vertical="center"/>
    </xf>
    <xf numFmtId="0" fontId="23" fillId="0" borderId="11" xfId="2" applyBorder="1"/>
    <xf numFmtId="0" fontId="23" fillId="0" borderId="0" xfId="2" applyAlignment="1">
      <alignment horizontal="right"/>
    </xf>
    <xf numFmtId="0" fontId="23" fillId="0" borderId="12" xfId="2" applyBorder="1"/>
    <xf numFmtId="0" fontId="23" fillId="0" borderId="1" xfId="2" applyBorder="1" applyAlignment="1">
      <alignment horizontal="center" vertical="center"/>
    </xf>
    <xf numFmtId="0" fontId="23" fillId="0" borderId="2" xfId="2" applyBorder="1" applyAlignment="1">
      <alignment horizontal="center" vertical="center"/>
    </xf>
    <xf numFmtId="49" fontId="23" fillId="0" borderId="0" xfId="2" applyNumberFormat="1"/>
    <xf numFmtId="49" fontId="23" fillId="0" borderId="1" xfId="2" applyNumberFormat="1" applyBorder="1" applyAlignment="1">
      <alignment vertical="center"/>
    </xf>
    <xf numFmtId="49" fontId="23" fillId="0" borderId="1" xfId="2" applyNumberFormat="1" applyBorder="1" applyAlignment="1">
      <alignment horizontal="center" vertical="center"/>
    </xf>
    <xf numFmtId="49" fontId="23" fillId="0" borderId="0" xfId="2" applyNumberFormat="1" applyAlignment="1">
      <alignment horizontal="center"/>
    </xf>
    <xf numFmtId="49" fontId="25" fillId="29" borderId="0" xfId="2" applyNumberFormat="1" applyFont="1" applyFill="1" applyAlignment="1">
      <alignment horizontal="center" vertical="center"/>
    </xf>
    <xf numFmtId="0" fontId="9" fillId="0" borderId="0" xfId="0" applyFont="1"/>
    <xf numFmtId="0" fontId="29" fillId="0" borderId="0" xfId="3" applyFont="1"/>
    <xf numFmtId="0" fontId="0" fillId="0" borderId="0" xfId="0" applyAlignment="1"/>
    <xf numFmtId="0" fontId="22" fillId="30" borderId="0" xfId="0" applyFont="1" applyFill="1" applyAlignment="1"/>
    <xf numFmtId="0" fontId="22" fillId="30" borderId="0" xfId="0" applyFont="1" applyFill="1"/>
    <xf numFmtId="0" fontId="22" fillId="30" borderId="0" xfId="0" applyFont="1" applyFill="1" applyAlignment="1">
      <alignment horizontal="center" vertical="center"/>
    </xf>
    <xf numFmtId="0" fontId="5" fillId="10" borderId="0" xfId="0" applyFont="1" applyFill="1" applyAlignment="1"/>
    <xf numFmtId="0" fontId="0" fillId="10" borderId="0" xfId="0" applyFill="1"/>
    <xf numFmtId="0" fontId="0" fillId="10" borderId="0" xfId="0" applyFill="1" applyAlignment="1"/>
    <xf numFmtId="0" fontId="9" fillId="10" borderId="1" xfId="0" applyFont="1" applyFill="1" applyBorder="1"/>
    <xf numFmtId="0" fontId="0" fillId="10" borderId="1" xfId="0" applyFill="1" applyBorder="1" applyAlignment="1">
      <alignment horizontal="center" vertical="center"/>
    </xf>
    <xf numFmtId="0" fontId="9" fillId="10" borderId="1" xfId="0" applyFont="1" applyFill="1" applyBorder="1" applyAlignment="1"/>
    <xf numFmtId="14" fontId="0" fillId="10" borderId="1" xfId="0" applyNumberFormat="1" applyFill="1" applyBorder="1" applyAlignment="1">
      <alignment horizontal="center" vertical="center"/>
    </xf>
    <xf numFmtId="0" fontId="1" fillId="25" borderId="1" xfId="0" applyFont="1" applyFill="1" applyBorder="1" applyAlignment="1">
      <alignment horizontal="center" wrapText="1"/>
    </xf>
    <xf numFmtId="0" fontId="1" fillId="31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vertical="center"/>
    </xf>
    <xf numFmtId="0" fontId="1" fillId="32" borderId="1" xfId="0" applyFont="1" applyFill="1" applyBorder="1"/>
    <xf numFmtId="0" fontId="1" fillId="32" borderId="1" xfId="0" applyFont="1" applyFill="1" applyBorder="1" applyAlignment="1"/>
    <xf numFmtId="0" fontId="1" fillId="32" borderId="21" xfId="0" applyFont="1" applyFill="1" applyBorder="1" applyAlignment="1"/>
    <xf numFmtId="0" fontId="1" fillId="0" borderId="27" xfId="0" applyFont="1" applyBorder="1" applyAlignment="1" applyProtection="1">
      <alignment horizontal="center" vertical="center" wrapText="1"/>
      <protection locked="0"/>
    </xf>
    <xf numFmtId="0" fontId="1" fillId="0" borderId="30" xfId="0" applyFont="1" applyBorder="1" applyAlignment="1" applyProtection="1">
      <alignment horizontal="center" vertical="center" wrapText="1"/>
      <protection locked="0"/>
    </xf>
    <xf numFmtId="0" fontId="1" fillId="34" borderId="1" xfId="0" applyFont="1" applyFill="1" applyBorder="1" applyAlignment="1">
      <alignment horizontal="left" wrapText="1"/>
    </xf>
    <xf numFmtId="0" fontId="1" fillId="34" borderId="4" xfId="0" applyFont="1" applyFill="1" applyBorder="1" applyAlignment="1">
      <alignment horizontal="left" wrapText="1"/>
    </xf>
    <xf numFmtId="0" fontId="31" fillId="35" borderId="26" xfId="0" applyFont="1" applyFill="1" applyBorder="1" applyAlignment="1">
      <alignment horizontal="center" vertical="top" wrapText="1"/>
    </xf>
    <xf numFmtId="0" fontId="30" fillId="35" borderId="29" xfId="0" applyFont="1" applyFill="1" applyBorder="1" applyAlignment="1">
      <alignment horizontal="center" vertical="center" wrapText="1"/>
    </xf>
    <xf numFmtId="0" fontId="17" fillId="10" borderId="0" xfId="0" applyFont="1" applyFill="1"/>
    <xf numFmtId="0" fontId="22" fillId="0" borderId="1" xfId="0" applyFont="1" applyBorder="1" applyAlignment="1" applyProtection="1">
      <alignment horizontal="center" vertical="center" wrapText="1"/>
      <protection hidden="1"/>
    </xf>
    <xf numFmtId="0" fontId="32" fillId="0" borderId="1" xfId="0" applyFont="1" applyBorder="1" applyAlignment="1" applyProtection="1">
      <alignment horizontal="center" vertical="center"/>
      <protection hidden="1"/>
    </xf>
    <xf numFmtId="0" fontId="32" fillId="0" borderId="4" xfId="0" applyFont="1" applyBorder="1" applyAlignment="1" applyProtection="1">
      <alignment horizontal="center" vertical="center"/>
      <protection hidden="1"/>
    </xf>
    <xf numFmtId="0" fontId="23" fillId="26" borderId="1" xfId="2" applyFill="1" applyBorder="1" applyAlignment="1" applyProtection="1">
      <alignment horizontal="center" vertical="center"/>
      <protection locked="0"/>
    </xf>
    <xf numFmtId="0" fontId="9" fillId="25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4" borderId="4" xfId="0" applyFont="1" applyFill="1" applyBorder="1" applyAlignment="1" applyProtection="1">
      <alignment horizontal="center" vertical="center" wrapText="1"/>
      <protection locked="0"/>
    </xf>
    <xf numFmtId="0" fontId="9" fillId="4" borderId="2" xfId="0" applyFont="1" applyFill="1" applyBorder="1" applyAlignment="1" applyProtection="1">
      <alignment horizontal="center" vertical="center" wrapText="1"/>
      <protection locked="0"/>
    </xf>
    <xf numFmtId="0" fontId="9" fillId="4" borderId="1" xfId="0" applyFont="1" applyFill="1" applyBorder="1" applyAlignment="1" applyProtection="1">
      <alignment horizontal="center" vertical="center" wrapText="1"/>
      <protection locked="0"/>
    </xf>
    <xf numFmtId="0" fontId="9" fillId="4" borderId="4" xfId="0" applyFont="1" applyFill="1" applyBorder="1" applyAlignment="1" applyProtection="1">
      <alignment horizontal="center" vertical="center"/>
    </xf>
    <xf numFmtId="0" fontId="9" fillId="4" borderId="2" xfId="0" applyFont="1" applyFill="1" applyBorder="1" applyAlignment="1" applyProtection="1">
      <alignment horizontal="center" vertical="center"/>
    </xf>
    <xf numFmtId="0" fontId="9" fillId="4" borderId="1" xfId="0" applyFont="1" applyFill="1" applyBorder="1" applyAlignment="1" applyProtection="1">
      <alignment horizontal="center" vertical="center"/>
    </xf>
    <xf numFmtId="0" fontId="9" fillId="4" borderId="4" xfId="0" applyFont="1" applyFill="1" applyBorder="1" applyAlignment="1" applyProtection="1">
      <alignment horizontal="center" vertical="center"/>
      <protection locked="0"/>
    </xf>
    <xf numFmtId="0" fontId="9" fillId="4" borderId="2" xfId="0" applyFont="1" applyFill="1" applyBorder="1" applyAlignment="1" applyProtection="1">
      <alignment horizontal="center" vertical="center"/>
      <protection locked="0"/>
    </xf>
    <xf numFmtId="0" fontId="9" fillId="4" borderId="1" xfId="0" applyFont="1" applyFill="1" applyBorder="1" applyAlignment="1" applyProtection="1">
      <alignment horizontal="center" vertical="center"/>
      <protection locked="0"/>
    </xf>
    <xf numFmtId="0" fontId="9" fillId="4" borderId="4" xfId="0" applyFont="1" applyFill="1" applyBorder="1" applyAlignment="1" applyProtection="1">
      <alignment horizontal="center" vertical="center" wrapText="1"/>
    </xf>
    <xf numFmtId="0" fontId="9" fillId="4" borderId="2" xfId="0" applyFont="1" applyFill="1" applyBorder="1" applyAlignment="1" applyProtection="1">
      <alignment horizontal="center" vertical="center" wrapText="1"/>
    </xf>
    <xf numFmtId="0" fontId="9" fillId="4" borderId="1" xfId="0" applyFont="1" applyFill="1" applyBorder="1" applyAlignment="1" applyProtection="1">
      <alignment horizontal="center" vertical="center" wrapText="1"/>
    </xf>
    <xf numFmtId="0" fontId="9" fillId="4" borderId="7" xfId="0" applyFont="1" applyFill="1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 wrapText="1"/>
      <protection locked="0"/>
    </xf>
    <xf numFmtId="0" fontId="9" fillId="7" borderId="5" xfId="0" applyFont="1" applyFill="1" applyBorder="1" applyAlignment="1" applyProtection="1">
      <alignment horizontal="center"/>
      <protection hidden="1"/>
    </xf>
    <xf numFmtId="0" fontId="9" fillId="7" borderId="11" xfId="0" applyFont="1" applyFill="1" applyBorder="1" applyAlignment="1" applyProtection="1">
      <alignment horizontal="center"/>
      <protection hidden="1"/>
    </xf>
    <xf numFmtId="0" fontId="9" fillId="7" borderId="6" xfId="0" applyFont="1" applyFill="1" applyBorder="1" applyAlignment="1" applyProtection="1">
      <alignment horizontal="center"/>
      <protection hidden="1"/>
    </xf>
    <xf numFmtId="0" fontId="9" fillId="14" borderId="1" xfId="0" applyFont="1" applyFill="1" applyBorder="1" applyAlignment="1" applyProtection="1">
      <alignment horizontal="center" vertical="center"/>
      <protection hidden="1"/>
    </xf>
    <xf numFmtId="0" fontId="0" fillId="14" borderId="1" xfId="0" applyFill="1" applyBorder="1" applyAlignment="1" applyProtection="1">
      <alignment vertical="center"/>
      <protection hidden="1"/>
    </xf>
    <xf numFmtId="0" fontId="9" fillId="4" borderId="1" xfId="0" applyFont="1" applyFill="1" applyBorder="1" applyAlignment="1" applyProtection="1">
      <alignment horizontal="center"/>
      <protection hidden="1"/>
    </xf>
    <xf numFmtId="0" fontId="0" fillId="0" borderId="1" xfId="0" applyBorder="1" applyAlignment="1" applyProtection="1">
      <protection hidden="1"/>
    </xf>
    <xf numFmtId="0" fontId="9" fillId="17" borderId="5" xfId="0" applyFont="1" applyFill="1" applyBorder="1" applyAlignment="1" applyProtection="1">
      <alignment horizontal="center"/>
      <protection hidden="1"/>
    </xf>
    <xf numFmtId="0" fontId="9" fillId="17" borderId="11" xfId="0" applyFont="1" applyFill="1" applyBorder="1" applyAlignment="1" applyProtection="1">
      <alignment horizontal="center"/>
      <protection hidden="1"/>
    </xf>
    <xf numFmtId="0" fontId="9" fillId="17" borderId="6" xfId="0" applyFont="1" applyFill="1" applyBorder="1" applyAlignment="1" applyProtection="1">
      <alignment horizontal="center"/>
      <protection hidden="1"/>
    </xf>
    <xf numFmtId="0" fontId="9" fillId="0" borderId="5" xfId="0" applyFont="1" applyBorder="1" applyAlignment="1" applyProtection="1">
      <alignment horizontal="center"/>
      <protection hidden="1"/>
    </xf>
    <xf numFmtId="0" fontId="9" fillId="0" borderId="11" xfId="0" applyFont="1" applyBorder="1" applyAlignment="1" applyProtection="1">
      <alignment horizontal="center"/>
      <protection hidden="1"/>
    </xf>
    <xf numFmtId="0" fontId="9" fillId="0" borderId="6" xfId="0" applyFont="1" applyBorder="1" applyAlignment="1" applyProtection="1">
      <alignment horizontal="center"/>
      <protection hidden="1"/>
    </xf>
    <xf numFmtId="0" fontId="12" fillId="19" borderId="0" xfId="0" applyFont="1" applyFill="1" applyBorder="1" applyAlignment="1" applyProtection="1">
      <alignment horizontal="center"/>
      <protection locked="0"/>
    </xf>
    <xf numFmtId="0" fontId="9" fillId="14" borderId="0" xfId="0" applyFont="1" applyFill="1" applyBorder="1" applyAlignment="1" applyProtection="1">
      <alignment horizontal="center"/>
      <protection hidden="1"/>
    </xf>
    <xf numFmtId="0" fontId="9" fillId="5" borderId="5" xfId="0" applyFont="1" applyFill="1" applyBorder="1" applyAlignment="1" applyProtection="1">
      <alignment horizontal="center"/>
      <protection hidden="1"/>
    </xf>
    <xf numFmtId="0" fontId="9" fillId="5" borderId="11" xfId="0" applyFont="1" applyFill="1" applyBorder="1" applyAlignment="1" applyProtection="1">
      <alignment horizontal="center"/>
      <protection hidden="1"/>
    </xf>
    <xf numFmtId="0" fontId="9" fillId="5" borderId="6" xfId="0" applyFont="1" applyFill="1" applyBorder="1" applyAlignment="1" applyProtection="1">
      <alignment horizontal="center"/>
      <protection hidden="1"/>
    </xf>
    <xf numFmtId="0" fontId="9" fillId="16" borderId="5" xfId="0" applyFont="1" applyFill="1" applyBorder="1" applyAlignment="1" applyProtection="1">
      <alignment horizontal="center"/>
      <protection hidden="1"/>
    </xf>
    <xf numFmtId="0" fontId="9" fillId="16" borderId="11" xfId="0" applyFont="1" applyFill="1" applyBorder="1" applyAlignment="1" applyProtection="1">
      <alignment horizontal="center"/>
      <protection hidden="1"/>
    </xf>
    <xf numFmtId="0" fontId="9" fillId="16" borderId="6" xfId="0" applyFont="1" applyFill="1" applyBorder="1" applyAlignment="1" applyProtection="1">
      <alignment horizont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4" borderId="0" xfId="0" applyFont="1" applyFill="1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vertical="center"/>
      <protection hidden="1"/>
    </xf>
    <xf numFmtId="0" fontId="9" fillId="8" borderId="5" xfId="0" applyFont="1" applyFill="1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center"/>
      <protection hidden="1"/>
    </xf>
    <xf numFmtId="0" fontId="9" fillId="9" borderId="5" xfId="0" applyFont="1" applyFill="1" applyBorder="1" applyAlignment="1" applyProtection="1">
      <alignment horizontal="center"/>
      <protection hidden="1"/>
    </xf>
    <xf numFmtId="0" fontId="18" fillId="18" borderId="18" xfId="0" quotePrefix="1" applyFont="1" applyFill="1" applyBorder="1" applyAlignment="1" applyProtection="1">
      <alignment horizontal="center"/>
      <protection hidden="1"/>
    </xf>
    <xf numFmtId="0" fontId="18" fillId="18" borderId="19" xfId="0" quotePrefix="1" applyFont="1" applyFill="1" applyBorder="1" applyAlignment="1" applyProtection="1">
      <alignment horizontal="center"/>
      <protection hidden="1"/>
    </xf>
    <xf numFmtId="0" fontId="18" fillId="18" borderId="20" xfId="0" quotePrefix="1" applyFont="1" applyFill="1" applyBorder="1" applyAlignment="1" applyProtection="1">
      <alignment horizontal="center"/>
      <protection hidden="1"/>
    </xf>
    <xf numFmtId="0" fontId="9" fillId="0" borderId="0" xfId="0" applyFont="1" applyFill="1" applyBorder="1" applyAlignment="1" applyProtection="1">
      <alignment horizontal="left"/>
      <protection hidden="1"/>
    </xf>
    <xf numFmtId="165" fontId="9" fillId="0" borderId="0" xfId="0" applyNumberFormat="1" applyFont="1" applyFill="1" applyBorder="1" applyAlignment="1" applyProtection="1">
      <alignment horizontal="left"/>
      <protection hidden="1"/>
    </xf>
    <xf numFmtId="0" fontId="0" fillId="10" borderId="5" xfId="0" applyFill="1" applyBorder="1" applyAlignment="1" applyProtection="1">
      <alignment horizontal="left"/>
      <protection locked="0"/>
    </xf>
    <xf numFmtId="0" fontId="0" fillId="0" borderId="11" xfId="0" applyBorder="1" applyAlignment="1" applyProtection="1">
      <alignment horizontal="left"/>
      <protection locked="0"/>
    </xf>
    <xf numFmtId="0" fontId="0" fillId="0" borderId="6" xfId="0" applyBorder="1" applyAlignment="1" applyProtection="1">
      <alignment horizontal="left"/>
      <protection locked="0"/>
    </xf>
    <xf numFmtId="0" fontId="2" fillId="16" borderId="5" xfId="0" applyFont="1" applyFill="1" applyBorder="1" applyAlignment="1"/>
    <xf numFmtId="0" fontId="0" fillId="16" borderId="11" xfId="0" applyFill="1" applyBorder="1" applyAlignment="1"/>
    <xf numFmtId="0" fontId="1" fillId="10" borderId="5" xfId="0" applyFont="1" applyFill="1" applyBorder="1" applyAlignment="1" applyProtection="1">
      <alignment horizontal="left"/>
      <protection locked="0"/>
    </xf>
    <xf numFmtId="164" fontId="0" fillId="10" borderId="5" xfId="0" applyNumberFormat="1" applyFill="1" applyBorder="1" applyAlignment="1" applyProtection="1">
      <alignment horizontal="left"/>
      <protection locked="0"/>
    </xf>
    <xf numFmtId="164" fontId="0" fillId="0" borderId="11" xfId="0" applyNumberFormat="1" applyBorder="1" applyAlignment="1" applyProtection="1">
      <alignment horizontal="left"/>
      <protection locked="0"/>
    </xf>
    <xf numFmtId="164" fontId="0" fillId="0" borderId="6" xfId="0" applyNumberFormat="1" applyBorder="1" applyAlignment="1" applyProtection="1">
      <alignment horizontal="left"/>
      <protection locked="0"/>
    </xf>
    <xf numFmtId="0" fontId="6" fillId="2" borderId="0" xfId="0" applyFont="1" applyFill="1" applyAlignment="1">
      <alignment horizontal="center"/>
    </xf>
    <xf numFmtId="0" fontId="1" fillId="33" borderId="26" xfId="0" applyFont="1" applyFill="1" applyBorder="1" applyAlignment="1">
      <alignment horizontal="center" vertical="center" wrapText="1"/>
    </xf>
    <xf numFmtId="0" fontId="1" fillId="33" borderId="29" xfId="0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5" fillId="20" borderId="0" xfId="0" applyFont="1" applyFill="1" applyAlignment="1">
      <alignment horizontal="center"/>
    </xf>
    <xf numFmtId="0" fontId="13" fillId="0" borderId="1" xfId="0" applyFont="1" applyBorder="1" applyAlignment="1">
      <alignment horizontal="center" vertical="top" textRotation="180"/>
    </xf>
    <xf numFmtId="0" fontId="5" fillId="10" borderId="0" xfId="0" applyFont="1" applyFill="1" applyAlignment="1">
      <alignment horizontal="center"/>
    </xf>
    <xf numFmtId="0" fontId="9" fillId="0" borderId="22" xfId="0" applyFont="1" applyBorder="1" applyAlignment="1">
      <alignment horizontal="center" wrapText="1"/>
    </xf>
    <xf numFmtId="0" fontId="9" fillId="0" borderId="23" xfId="0" applyFont="1" applyBorder="1" applyAlignment="1">
      <alignment horizontal="center" wrapText="1"/>
    </xf>
    <xf numFmtId="0" fontId="9" fillId="0" borderId="24" xfId="0" applyFont="1" applyBorder="1" applyAlignment="1">
      <alignment horizontal="center" wrapText="1"/>
    </xf>
    <xf numFmtId="0" fontId="9" fillId="0" borderId="13" xfId="0" applyFont="1" applyBorder="1" applyAlignment="1">
      <alignment horizontal="center" wrapText="1"/>
    </xf>
    <xf numFmtId="0" fontId="9" fillId="0" borderId="0" xfId="0" applyFont="1" applyBorder="1" applyAlignment="1">
      <alignment horizontal="center" wrapText="1"/>
    </xf>
    <xf numFmtId="0" fontId="9" fillId="0" borderId="14" xfId="0" applyFont="1" applyBorder="1" applyAlignment="1">
      <alignment horizontal="center" wrapText="1"/>
    </xf>
    <xf numFmtId="0" fontId="9" fillId="0" borderId="15" xfId="0" applyFont="1" applyBorder="1" applyAlignment="1">
      <alignment horizontal="center" wrapText="1"/>
    </xf>
    <xf numFmtId="0" fontId="9" fillId="0" borderId="16" xfId="0" applyFont="1" applyBorder="1" applyAlignment="1">
      <alignment horizontal="center" wrapText="1"/>
    </xf>
    <xf numFmtId="0" fontId="9" fillId="0" borderId="17" xfId="0" applyFont="1" applyBorder="1" applyAlignment="1">
      <alignment horizontal="center" wrapText="1"/>
    </xf>
    <xf numFmtId="0" fontId="33" fillId="18" borderId="0" xfId="0" applyFont="1" applyFill="1" applyAlignment="1">
      <alignment horizontal="center"/>
    </xf>
    <xf numFmtId="0" fontId="1" fillId="33" borderId="1" xfId="0" applyFont="1" applyFill="1" applyBorder="1" applyAlignment="1">
      <alignment horizontal="center" vertical="center" wrapText="1"/>
    </xf>
    <xf numFmtId="0" fontId="1" fillId="33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6" fillId="28" borderId="0" xfId="2" applyFont="1" applyFill="1" applyAlignment="1">
      <alignment horizontal="center" vertical="center"/>
    </xf>
    <xf numFmtId="0" fontId="27" fillId="0" borderId="0" xfId="2" applyFont="1" applyAlignment="1">
      <alignment horizontal="center" vertical="center"/>
    </xf>
    <xf numFmtId="0" fontId="23" fillId="0" borderId="0" xfId="2" applyAlignment="1">
      <alignment horizontal="center" vertical="center"/>
    </xf>
    <xf numFmtId="0" fontId="23" fillId="0" borderId="1" xfId="2" applyBorder="1" applyAlignment="1">
      <alignment horizontal="center" vertical="center"/>
    </xf>
    <xf numFmtId="0" fontId="23" fillId="0" borderId="0" xfId="2" applyAlignment="1">
      <alignment horizontal="center"/>
    </xf>
    <xf numFmtId="49" fontId="23" fillId="0" borderId="5" xfId="2" applyNumberFormat="1" applyBorder="1" applyAlignment="1">
      <alignment horizontal="center" vertical="center"/>
    </xf>
    <xf numFmtId="49" fontId="23" fillId="0" borderId="11" xfId="2" applyNumberFormat="1" applyBorder="1" applyAlignment="1">
      <alignment horizontal="center" vertical="center"/>
    </xf>
    <xf numFmtId="49" fontId="23" fillId="0" borderId="6" xfId="2" applyNumberFormat="1" applyBorder="1" applyAlignment="1">
      <alignment horizontal="center" vertical="center"/>
    </xf>
    <xf numFmtId="49" fontId="23" fillId="0" borderId="4" xfId="2" applyNumberFormat="1" applyBorder="1" applyAlignment="1">
      <alignment horizontal="center" vertical="center"/>
    </xf>
    <xf numFmtId="49" fontId="23" fillId="0" borderId="2" xfId="2" applyNumberFormat="1" applyBorder="1" applyAlignment="1">
      <alignment horizontal="center" vertical="center"/>
    </xf>
    <xf numFmtId="49" fontId="23" fillId="0" borderId="21" xfId="2" applyNumberFormat="1" applyBorder="1" applyAlignment="1">
      <alignment horizontal="center" vertical="center"/>
    </xf>
    <xf numFmtId="49" fontId="23" fillId="0" borderId="0" xfId="2" applyNumberFormat="1" applyAlignment="1">
      <alignment horizontal="center"/>
    </xf>
    <xf numFmtId="0" fontId="21" fillId="27" borderId="0" xfId="0" applyFont="1" applyFill="1" applyAlignment="1">
      <alignment horizontal="center" vertical="center" wrapText="1"/>
    </xf>
    <xf numFmtId="0" fontId="16" fillId="27" borderId="0" xfId="0" applyFont="1" applyFill="1" applyAlignment="1">
      <alignment horizontal="center"/>
    </xf>
  </cellXfs>
  <cellStyles count="4">
    <cellStyle name="Hyperlink" xfId="3" builtinId="8"/>
    <cellStyle name="Normal" xfId="0" builtinId="0"/>
    <cellStyle name="Normal 2" xfId="2"/>
    <cellStyle name="Normal 7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Style" Target="style1.xml"/><Relationship Id="rId2" Type="http://schemas.microsoft.com/office/2011/relationships/chartColorStyle" Target="colors1.xml"/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GRAFIK</a:t>
            </a:r>
            <a:r>
              <a:rPr lang="id-ID"/>
              <a:t> SKORING</a:t>
            </a:r>
          </a:p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43432247875795182"/>
          <c:y val="3.333362496354622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7457727938095803E-2"/>
          <c:y val="0.20555611316219949"/>
          <c:w val="0.84957715006905254"/>
          <c:h val="0.73055753731970863"/>
        </c:manualLayout>
      </c:layou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IST!$T$27:$T$35</c:f>
              <c:strCache>
                <c:ptCount val="9"/>
                <c:pt idx="0">
                  <c:v>SE</c:v>
                </c:pt>
                <c:pt idx="1">
                  <c:v>WA</c:v>
                </c:pt>
                <c:pt idx="2">
                  <c:v>AN</c:v>
                </c:pt>
                <c:pt idx="3">
                  <c:v>GE</c:v>
                </c:pt>
                <c:pt idx="4">
                  <c:v>ME</c:v>
                </c:pt>
                <c:pt idx="5">
                  <c:v>RA</c:v>
                </c:pt>
                <c:pt idx="6">
                  <c:v>ZR</c:v>
                </c:pt>
                <c:pt idx="7">
                  <c:v>FA</c:v>
                </c:pt>
                <c:pt idx="8">
                  <c:v>WU</c:v>
                </c:pt>
              </c:strCache>
            </c:strRef>
          </c:cat>
          <c:val>
            <c:numRef>
              <c:f>IST!$V$27:$V$35</c:f>
              <c:numCache>
                <c:formatCode>General</c:formatCode>
                <c:ptCount val="9"/>
                <c:pt idx="0">
                  <c:v>65</c:v>
                </c:pt>
                <c:pt idx="1">
                  <c:v>65</c:v>
                </c:pt>
                <c:pt idx="2">
                  <c:v>77</c:v>
                </c:pt>
                <c:pt idx="3">
                  <c:v>73</c:v>
                </c:pt>
                <c:pt idx="4">
                  <c:v>77</c:v>
                </c:pt>
                <c:pt idx="5">
                  <c:v>72</c:v>
                </c:pt>
                <c:pt idx="6">
                  <c:v>77</c:v>
                </c:pt>
                <c:pt idx="7">
                  <c:v>74</c:v>
                </c:pt>
                <c:pt idx="8">
                  <c:v>74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B6B-4E28-B440-5F7C485BE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474880"/>
        <c:axId val="79417856"/>
      </c:lineChart>
      <c:catAx>
        <c:axId val="12447488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9417856"/>
        <c:crosses val="max"/>
        <c:auto val="1"/>
        <c:lblAlgn val="ctr"/>
        <c:lblOffset val="100"/>
        <c:tickLblSkip val="1"/>
        <c:tickMarkSkip val="1"/>
        <c:noMultiLvlLbl val="0"/>
      </c:catAx>
      <c:valAx>
        <c:axId val="79417856"/>
        <c:scaling>
          <c:orientation val="minMax"/>
          <c:max val="165"/>
          <c:min val="5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24474880"/>
        <c:crosses val="autoZero"/>
        <c:crossBetween val="midCat"/>
        <c:majorUnit val="10"/>
        <c:minorUnit val="2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d-ID"/>
    </a:p>
  </c:txPr>
  <c:printSettings>
    <c:headerFooter alignWithMargins="0"/>
    <c:pageMargins b="1" l="0.75000000000000044" r="0.75000000000000044" t="1" header="0.5" footer="0.5"/>
    <c:pageSetup paperSize="9" orientation="landscape" horizontalDpi="360" verticalDpi="360"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4</xdr:col>
      <xdr:colOff>765175</xdr:colOff>
      <xdr:row>9</xdr:row>
      <xdr:rowOff>142875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878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850900"/>
          <a:ext cx="3813175" cy="85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14</xdr:row>
      <xdr:rowOff>28575</xdr:rowOff>
    </xdr:from>
    <xdr:to>
      <xdr:col>4</xdr:col>
      <xdr:colOff>422733</xdr:colOff>
      <xdr:row>21</xdr:row>
      <xdr:rowOff>155780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7350" y="2479675"/>
          <a:ext cx="3375483" cy="1378155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5</xdr:col>
      <xdr:colOff>82550</xdr:colOff>
      <xdr:row>52</xdr:row>
      <xdr:rowOff>38100</xdr:rowOff>
    </xdr:to>
    <xdr:pic>
      <xdr:nvPicPr>
        <xdr:cNvPr id="4" name="Picture 5">
          <a:extLst>
            <a:ext uri="{FF2B5EF4-FFF2-40B4-BE49-F238E27FC236}">
              <a16:creationId xmlns="" xmlns:a16="http://schemas.microsoft.com/office/drawing/2014/main" id="{00000000-0008-0000-0000-00000A78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4584700"/>
          <a:ext cx="4400550" cy="420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19050</xdr:colOff>
      <xdr:row>40</xdr:row>
      <xdr:rowOff>95250</xdr:rowOff>
    </xdr:from>
    <xdr:to>
      <xdr:col>24</xdr:col>
      <xdr:colOff>748393</xdr:colOff>
      <xdr:row>61</xdr:row>
      <xdr:rowOff>114300</xdr:rowOff>
    </xdr:to>
    <xdr:graphicFrame macro="">
      <xdr:nvGraphicFramePr>
        <xdr:cNvPr id="6371" name="Chart 1">
          <a:extLst>
            <a:ext uri="{FF2B5EF4-FFF2-40B4-BE49-F238E27FC236}">
              <a16:creationId xmlns="" xmlns:a16="http://schemas.microsoft.com/office/drawing/2014/main" id="{00000000-0008-0000-0100-0000E3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0.1574</cdr:x>
      <cdr:y>0.48979</cdr:y>
    </cdr:from>
    <cdr:to>
      <cdr:x>0.95908</cdr:x>
      <cdr:y>0.48979</cdr:y>
    </cdr:to>
    <cdr:sp macro="" textlink="">
      <cdr:nvSpPr>
        <cdr:cNvPr id="2050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712311" y="1687333"/>
          <a:ext cx="3611852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9050">
          <a:solidFill>
            <a:srgbClr val="000000"/>
          </a:solidFill>
          <a:prstDash val="dash"/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id-ID"/>
        </a:p>
      </cdr:txBody>
    </cdr:sp>
  </cdr:relSizeAnchor>
  <cdr:relSizeAnchor xmlns:cdr="http://schemas.openxmlformats.org/drawingml/2006/chartDrawing">
    <cdr:from>
      <cdr:x>0.1574</cdr:x>
      <cdr:y>0.77249</cdr:y>
    </cdr:from>
    <cdr:to>
      <cdr:x>0.95688</cdr:x>
      <cdr:y>0.77322</cdr:y>
    </cdr:to>
    <cdr:sp macro="" textlink="">
      <cdr:nvSpPr>
        <cdr:cNvPr id="2051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712311" y="2659390"/>
          <a:ext cx="3601929" cy="250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9050">
          <a:solidFill>
            <a:srgbClr val="000000"/>
          </a:solidFill>
          <a:prstDash val="dash"/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id-ID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58"/>
  <sheetViews>
    <sheetView workbookViewId="0">
      <selection activeCell="I4" sqref="I3:I4"/>
    </sheetView>
  </sheetViews>
  <sheetFormatPr defaultRowHeight="12.5"/>
  <cols>
    <col min="1" max="1" width="4.1796875" customWidth="1"/>
    <col min="4" max="4" width="13.7265625" customWidth="1"/>
    <col min="5" max="5" width="16.1796875" customWidth="1"/>
    <col min="6" max="6" width="10.7265625" customWidth="1"/>
    <col min="10" max="10" width="17.1796875" customWidth="1"/>
  </cols>
  <sheetData>
    <row r="1" spans="1:11">
      <c r="A1" s="222" t="s">
        <v>74</v>
      </c>
      <c r="B1" s="222"/>
      <c r="C1" s="222"/>
      <c r="D1" s="222"/>
      <c r="E1" s="222"/>
      <c r="F1" s="222"/>
      <c r="G1" s="222"/>
      <c r="H1" s="222"/>
      <c r="I1" s="222"/>
      <c r="J1" s="222"/>
    </row>
    <row r="2" spans="1:11">
      <c r="A2" s="222"/>
      <c r="B2" s="222"/>
      <c r="C2" s="222"/>
      <c r="D2" s="222"/>
      <c r="E2" s="222"/>
      <c r="F2" s="222"/>
      <c r="G2" s="222"/>
      <c r="H2" s="222"/>
      <c r="I2" s="222"/>
      <c r="J2" s="222"/>
    </row>
    <row r="3" spans="1:11" ht="14">
      <c r="A3" s="71">
        <v>1</v>
      </c>
      <c r="B3" s="67" t="s">
        <v>75</v>
      </c>
    </row>
    <row r="4" spans="1:11" ht="14">
      <c r="A4" s="71">
        <v>2</v>
      </c>
      <c r="B4" s="67" t="s">
        <v>76</v>
      </c>
    </row>
    <row r="5" spans="1:11" ht="14">
      <c r="A5" s="71">
        <v>3</v>
      </c>
      <c r="B5" s="67" t="s">
        <v>77</v>
      </c>
    </row>
    <row r="6" spans="1:11" ht="14">
      <c r="A6" s="71"/>
    </row>
    <row r="7" spans="1:11" ht="14">
      <c r="A7" s="71"/>
    </row>
    <row r="8" spans="1:11" ht="14">
      <c r="A8" s="71"/>
    </row>
    <row r="9" spans="1:11" ht="14">
      <c r="A9" s="71"/>
    </row>
    <row r="10" spans="1:11" ht="14">
      <c r="A10" s="71"/>
    </row>
    <row r="11" spans="1:11" ht="14">
      <c r="A11" s="71"/>
    </row>
    <row r="12" spans="1:11" ht="14">
      <c r="A12" s="71">
        <v>4</v>
      </c>
      <c r="B12" s="67" t="s">
        <v>78</v>
      </c>
    </row>
    <row r="13" spans="1:11" ht="14">
      <c r="A13" s="71">
        <v>5</v>
      </c>
      <c r="B13" s="67" t="s">
        <v>86</v>
      </c>
    </row>
    <row r="14" spans="1:11" ht="14">
      <c r="A14" s="71"/>
    </row>
    <row r="15" spans="1:11" ht="14">
      <c r="A15" s="71"/>
      <c r="H15" s="70" t="s">
        <v>87</v>
      </c>
      <c r="I15" s="70"/>
      <c r="J15" s="70" t="s">
        <v>88</v>
      </c>
    </row>
    <row r="16" spans="1:11" ht="14">
      <c r="A16" s="71"/>
      <c r="H16" s="126" t="s">
        <v>79</v>
      </c>
      <c r="I16" s="126"/>
      <c r="J16" s="69" t="s">
        <v>80</v>
      </c>
      <c r="K16" s="74" t="s">
        <v>29</v>
      </c>
    </row>
    <row r="17" spans="1:11" ht="14">
      <c r="A17" s="71"/>
      <c r="H17" s="127" t="s">
        <v>83</v>
      </c>
      <c r="I17" s="128"/>
      <c r="J17" s="76" t="s">
        <v>83</v>
      </c>
      <c r="K17" s="75">
        <v>1</v>
      </c>
    </row>
    <row r="18" spans="1:11" ht="14">
      <c r="A18" s="71"/>
      <c r="H18" s="127" t="s">
        <v>81</v>
      </c>
      <c r="I18" s="127"/>
      <c r="J18" s="77" t="s">
        <v>82</v>
      </c>
      <c r="K18" s="75">
        <v>2</v>
      </c>
    </row>
    <row r="19" spans="1:11" ht="14">
      <c r="A19" s="71"/>
      <c r="D19" s="68"/>
      <c r="H19" s="127" t="s">
        <v>84</v>
      </c>
      <c r="I19" s="128"/>
      <c r="J19" s="77" t="s">
        <v>85</v>
      </c>
      <c r="K19" s="75">
        <v>0</v>
      </c>
    </row>
    <row r="20" spans="1:11" ht="14">
      <c r="A20" s="71"/>
    </row>
    <row r="21" spans="1:11" ht="14">
      <c r="A21" s="71"/>
    </row>
    <row r="22" spans="1:11" ht="14">
      <c r="A22" s="71"/>
    </row>
    <row r="23" spans="1:11" ht="14">
      <c r="A23" s="71"/>
    </row>
    <row r="24" spans="1:11" ht="14">
      <c r="A24" s="71"/>
    </row>
    <row r="25" spans="1:11" ht="14">
      <c r="A25" s="71"/>
    </row>
    <row r="26" spans="1:11" ht="14">
      <c r="A26" s="71">
        <v>6</v>
      </c>
      <c r="B26" s="67" t="s">
        <v>89</v>
      </c>
    </row>
    <row r="27" spans="1:11" ht="14">
      <c r="A27" s="71"/>
    </row>
    <row r="28" spans="1:11" ht="14">
      <c r="A28" s="71"/>
    </row>
    <row r="54" spans="1:6" ht="14">
      <c r="A54" s="71">
        <v>7</v>
      </c>
      <c r="B54" s="96" t="s">
        <v>309</v>
      </c>
      <c r="C54" s="96"/>
      <c r="D54" s="96"/>
      <c r="E54" s="96"/>
      <c r="F54" s="96"/>
    </row>
    <row r="55" spans="1:6" ht="13">
      <c r="B55" s="96"/>
      <c r="C55" s="96"/>
      <c r="D55" s="96"/>
      <c r="E55" s="96"/>
      <c r="F55" s="96"/>
    </row>
    <row r="57" spans="1:6" ht="15.5">
      <c r="A57" s="72"/>
      <c r="B57" s="73"/>
    </row>
    <row r="58" spans="1:6" ht="13">
      <c r="B58" s="96"/>
      <c r="D58" s="97"/>
    </row>
  </sheetData>
  <mergeCells count="5">
    <mergeCell ref="A1:J2"/>
    <mergeCell ref="H16:I16"/>
    <mergeCell ref="H17:I17"/>
    <mergeCell ref="H18:I18"/>
    <mergeCell ref="H19:I19"/>
  </mergeCells>
  <dataValidations count="1">
    <dataValidation type="list" allowBlank="1" showInputMessage="1" showErrorMessage="1" sqref="J17:J19">
      <formula1>"klik untuk pilih,bunga,kembang,perdu,tumbuh-tumbuhan,tumbuhan,tanaman,harum,tidak cocok"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Z332"/>
  <sheetViews>
    <sheetView showGridLines="0" tabSelected="1" zoomScale="70" zoomScaleNormal="70" workbookViewId="0">
      <selection activeCell="N9" sqref="N9"/>
    </sheetView>
  </sheetViews>
  <sheetFormatPr defaultColWidth="9.1796875" defaultRowHeight="12.5"/>
  <cols>
    <col min="1" max="1" width="10.7265625" style="1" customWidth="1"/>
    <col min="2" max="2" width="4.7265625" style="1" customWidth="1"/>
    <col min="3" max="3" width="9.1796875" style="1"/>
    <col min="4" max="4" width="9.1796875" style="1" customWidth="1"/>
    <col min="5" max="5" width="4.7265625" style="1" customWidth="1"/>
    <col min="6" max="7" width="9.1796875" style="1"/>
    <col min="8" max="8" width="4.7265625" style="1" customWidth="1"/>
    <col min="9" max="10" width="9.1796875" style="1"/>
    <col min="11" max="11" width="7.1796875" style="1" customWidth="1"/>
    <col min="12" max="12" width="15.81640625" style="1" customWidth="1"/>
    <col min="13" max="13" width="9.1796875" style="1"/>
    <col min="14" max="14" width="4.7265625" style="1" customWidth="1"/>
    <col min="15" max="16" width="9.1796875" style="1"/>
    <col min="17" max="18" width="4.7265625" style="1" customWidth="1"/>
    <col min="19" max="19" width="9.1796875" style="1"/>
    <col min="20" max="20" width="5.1796875" style="1" customWidth="1"/>
    <col min="21" max="21" width="5" style="1" customWidth="1"/>
    <col min="22" max="22" width="5.453125" style="1" customWidth="1"/>
    <col min="23" max="23" width="20.7265625" style="1" customWidth="1"/>
    <col min="24" max="24" width="9.1796875" style="1"/>
    <col min="25" max="25" width="12" style="1" customWidth="1"/>
    <col min="26" max="26" width="9.1796875" style="1"/>
    <col min="27" max="156" width="4.7265625" style="1" hidden="1" customWidth="1"/>
    <col min="157" max="16384" width="9.1796875" style="1"/>
  </cols>
  <sheetData>
    <row r="1" spans="1:156" ht="37">
      <c r="A1" s="223" t="s">
        <v>68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</row>
    <row r="2" spans="1:156" ht="37">
      <c r="A2" s="223" t="s">
        <v>313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</row>
    <row r="3" spans="1:156" ht="13">
      <c r="N3" s="17"/>
      <c r="O3" s="17"/>
      <c r="P3" s="18"/>
      <c r="AA3" s="160" t="s">
        <v>47</v>
      </c>
      <c r="AB3" s="161"/>
      <c r="AC3" s="161"/>
      <c r="AD3" s="161"/>
      <c r="AE3" s="161"/>
      <c r="AF3" s="161"/>
      <c r="AG3" s="161"/>
      <c r="AH3" s="161"/>
      <c r="AI3" s="161"/>
      <c r="AJ3" s="162"/>
      <c r="AK3" s="145" t="s">
        <v>48</v>
      </c>
      <c r="AL3" s="146"/>
      <c r="AM3" s="146"/>
      <c r="AN3" s="146"/>
      <c r="AO3" s="146"/>
      <c r="AP3" s="146"/>
      <c r="AQ3" s="146"/>
      <c r="AR3" s="146"/>
      <c r="AS3" s="146"/>
      <c r="AT3" s="147"/>
      <c r="AU3" s="152" t="s">
        <v>43</v>
      </c>
      <c r="AV3" s="153"/>
      <c r="AW3" s="153"/>
      <c r="AX3" s="153"/>
      <c r="AY3" s="153"/>
      <c r="AZ3" s="153"/>
      <c r="BA3" s="153"/>
      <c r="BB3" s="153"/>
      <c r="BC3" s="153"/>
      <c r="BD3" s="154"/>
      <c r="BE3" s="163" t="s">
        <v>44</v>
      </c>
      <c r="BF3" s="164"/>
      <c r="BG3" s="164"/>
      <c r="BH3" s="164"/>
      <c r="BI3" s="164"/>
      <c r="BJ3" s="164"/>
      <c r="BK3" s="164"/>
      <c r="BL3" s="164"/>
      <c r="BM3" s="164"/>
      <c r="BN3" s="165"/>
      <c r="BO3" s="170" t="s">
        <v>45</v>
      </c>
      <c r="BP3" s="171"/>
      <c r="BQ3" s="171"/>
      <c r="BR3" s="171"/>
      <c r="BS3" s="171"/>
      <c r="BT3" s="171"/>
      <c r="BU3" s="171"/>
      <c r="BV3" s="171"/>
      <c r="BW3" s="171"/>
      <c r="BX3" s="172"/>
      <c r="BY3" s="173" t="s">
        <v>46</v>
      </c>
      <c r="BZ3" s="171"/>
      <c r="CA3" s="171"/>
      <c r="CB3" s="171"/>
      <c r="CC3" s="171"/>
      <c r="CD3" s="171"/>
      <c r="CE3" s="171"/>
      <c r="CF3" s="171"/>
      <c r="CG3" s="171"/>
      <c r="CH3" s="172"/>
      <c r="CI3" s="160" t="s">
        <v>56</v>
      </c>
      <c r="CJ3" s="161"/>
      <c r="CK3" s="161"/>
      <c r="CL3" s="161"/>
      <c r="CM3" s="161"/>
      <c r="CN3" s="161"/>
      <c r="CO3" s="161"/>
      <c r="CP3" s="161"/>
      <c r="CQ3" s="161"/>
      <c r="CR3" s="162"/>
      <c r="CS3" s="145" t="s">
        <v>57</v>
      </c>
      <c r="CT3" s="146"/>
      <c r="CU3" s="146"/>
      <c r="CV3" s="146"/>
      <c r="CW3" s="146"/>
      <c r="CX3" s="146"/>
      <c r="CY3" s="146"/>
      <c r="CZ3" s="146"/>
      <c r="DA3" s="146"/>
      <c r="DB3" s="147"/>
      <c r="DC3" s="152" t="s">
        <v>58</v>
      </c>
      <c r="DD3" s="153"/>
      <c r="DE3" s="153"/>
      <c r="DF3" s="153"/>
      <c r="DG3" s="153"/>
      <c r="DH3" s="153"/>
      <c r="DI3" s="153"/>
      <c r="DJ3" s="153"/>
      <c r="DK3" s="153"/>
      <c r="DL3" s="154"/>
      <c r="DM3" s="163" t="s">
        <v>59</v>
      </c>
      <c r="DN3" s="164"/>
      <c r="DO3" s="164"/>
      <c r="DP3" s="164"/>
      <c r="DQ3" s="164"/>
      <c r="DR3" s="164"/>
      <c r="DS3" s="164"/>
      <c r="DT3" s="164"/>
      <c r="DU3" s="164"/>
      <c r="DV3" s="165"/>
      <c r="DW3" s="170" t="s">
        <v>60</v>
      </c>
      <c r="DX3" s="171"/>
      <c r="DY3" s="171"/>
      <c r="DZ3" s="171"/>
      <c r="EA3" s="171"/>
      <c r="EB3" s="171"/>
      <c r="EC3" s="171"/>
      <c r="ED3" s="171"/>
      <c r="EE3" s="171"/>
      <c r="EF3" s="172"/>
      <c r="EG3" s="173" t="s">
        <v>61</v>
      </c>
      <c r="EH3" s="171"/>
      <c r="EI3" s="171"/>
      <c r="EJ3" s="171"/>
      <c r="EK3" s="171"/>
      <c r="EL3" s="171"/>
      <c r="EM3" s="171"/>
      <c r="EN3" s="171"/>
      <c r="EO3" s="171"/>
      <c r="EP3" s="172"/>
      <c r="EQ3" s="145" t="s">
        <v>62</v>
      </c>
      <c r="ER3" s="146"/>
      <c r="ES3" s="146"/>
      <c r="ET3" s="146"/>
      <c r="EU3" s="146"/>
      <c r="EV3" s="146"/>
      <c r="EW3" s="146"/>
      <c r="EX3" s="146"/>
      <c r="EY3" s="146"/>
      <c r="EZ3" s="147"/>
    </row>
    <row r="4" spans="1:156" ht="13">
      <c r="A4" s="182" t="s">
        <v>0</v>
      </c>
      <c r="B4" s="183"/>
      <c r="C4" s="65" t="s">
        <v>1</v>
      </c>
      <c r="D4" s="179">
        <v>1</v>
      </c>
      <c r="E4" s="180"/>
      <c r="F4" s="180"/>
      <c r="G4" s="181"/>
      <c r="N4" s="17"/>
      <c r="O4" s="17"/>
      <c r="P4" s="18"/>
      <c r="AA4" s="166" t="s">
        <v>2</v>
      </c>
      <c r="AB4" s="155" t="s">
        <v>22</v>
      </c>
      <c r="AC4" s="156"/>
      <c r="AD4" s="156"/>
      <c r="AE4" s="156"/>
      <c r="AF4" s="156"/>
      <c r="AG4" s="156"/>
      <c r="AH4" s="156"/>
      <c r="AI4" s="156"/>
      <c r="AJ4" s="157"/>
      <c r="AK4" s="166" t="s">
        <v>2</v>
      </c>
      <c r="AL4" s="155" t="s">
        <v>22</v>
      </c>
      <c r="AM4" s="156"/>
      <c r="AN4" s="156"/>
      <c r="AO4" s="156"/>
      <c r="AP4" s="156"/>
      <c r="AQ4" s="156"/>
      <c r="AR4" s="156"/>
      <c r="AS4" s="156"/>
      <c r="AT4" s="157"/>
      <c r="AU4" s="166" t="s">
        <v>2</v>
      </c>
      <c r="AV4" s="155" t="s">
        <v>22</v>
      </c>
      <c r="AW4" s="156"/>
      <c r="AX4" s="156"/>
      <c r="AY4" s="156"/>
      <c r="AZ4" s="156"/>
      <c r="BA4" s="156"/>
      <c r="BB4" s="156"/>
      <c r="BC4" s="156"/>
      <c r="BD4" s="157"/>
      <c r="BE4" s="166" t="s">
        <v>2</v>
      </c>
      <c r="BF4" s="155" t="s">
        <v>22</v>
      </c>
      <c r="BG4" s="156"/>
      <c r="BH4" s="156"/>
      <c r="BI4" s="156"/>
      <c r="BJ4" s="156"/>
      <c r="BK4" s="156"/>
      <c r="BL4" s="156"/>
      <c r="BM4" s="156"/>
      <c r="BN4" s="157"/>
      <c r="BO4" s="166" t="s">
        <v>2</v>
      </c>
      <c r="BP4" s="155" t="s">
        <v>22</v>
      </c>
      <c r="BQ4" s="156"/>
      <c r="BR4" s="156"/>
      <c r="BS4" s="156"/>
      <c r="BT4" s="156"/>
      <c r="BU4" s="156"/>
      <c r="BV4" s="156"/>
      <c r="BW4" s="156"/>
      <c r="BX4" s="157"/>
      <c r="BY4" s="166" t="s">
        <v>2</v>
      </c>
      <c r="BZ4" s="155" t="s">
        <v>22</v>
      </c>
      <c r="CA4" s="156"/>
      <c r="CB4" s="156"/>
      <c r="CC4" s="156"/>
      <c r="CD4" s="156"/>
      <c r="CE4" s="156"/>
      <c r="CF4" s="156"/>
      <c r="CG4" s="156"/>
      <c r="CH4" s="157"/>
      <c r="CI4" s="166" t="s">
        <v>2</v>
      </c>
      <c r="CJ4" s="155" t="s">
        <v>22</v>
      </c>
      <c r="CK4" s="156"/>
      <c r="CL4" s="156"/>
      <c r="CM4" s="156"/>
      <c r="CN4" s="156"/>
      <c r="CO4" s="156"/>
      <c r="CP4" s="156"/>
      <c r="CQ4" s="156"/>
      <c r="CR4" s="157"/>
      <c r="CS4" s="166" t="s">
        <v>2</v>
      </c>
      <c r="CT4" s="155" t="s">
        <v>22</v>
      </c>
      <c r="CU4" s="156"/>
      <c r="CV4" s="156"/>
      <c r="CW4" s="156"/>
      <c r="CX4" s="156"/>
      <c r="CY4" s="156"/>
      <c r="CZ4" s="156"/>
      <c r="DA4" s="156"/>
      <c r="DB4" s="157"/>
      <c r="DC4" s="166" t="s">
        <v>2</v>
      </c>
      <c r="DD4" s="155" t="s">
        <v>22</v>
      </c>
      <c r="DE4" s="156"/>
      <c r="DF4" s="156"/>
      <c r="DG4" s="156"/>
      <c r="DH4" s="156"/>
      <c r="DI4" s="156"/>
      <c r="DJ4" s="156"/>
      <c r="DK4" s="156"/>
      <c r="DL4" s="157"/>
      <c r="DM4" s="166" t="s">
        <v>2</v>
      </c>
      <c r="DN4" s="155" t="s">
        <v>22</v>
      </c>
      <c r="DO4" s="156"/>
      <c r="DP4" s="156"/>
      <c r="DQ4" s="156"/>
      <c r="DR4" s="156"/>
      <c r="DS4" s="156"/>
      <c r="DT4" s="156"/>
      <c r="DU4" s="156"/>
      <c r="DV4" s="157"/>
      <c r="DW4" s="166" t="s">
        <v>2</v>
      </c>
      <c r="DX4" s="155" t="s">
        <v>22</v>
      </c>
      <c r="DY4" s="156"/>
      <c r="DZ4" s="156"/>
      <c r="EA4" s="156"/>
      <c r="EB4" s="156"/>
      <c r="EC4" s="156"/>
      <c r="ED4" s="156"/>
      <c r="EE4" s="156"/>
      <c r="EF4" s="157"/>
      <c r="EG4" s="166" t="s">
        <v>2</v>
      </c>
      <c r="EH4" s="155" t="s">
        <v>22</v>
      </c>
      <c r="EI4" s="156"/>
      <c r="EJ4" s="156"/>
      <c r="EK4" s="156"/>
      <c r="EL4" s="156"/>
      <c r="EM4" s="156"/>
      <c r="EN4" s="156"/>
      <c r="EO4" s="156"/>
      <c r="EP4" s="157"/>
      <c r="EQ4" s="166" t="s">
        <v>2</v>
      </c>
      <c r="ER4" s="155" t="s">
        <v>22</v>
      </c>
      <c r="ES4" s="156"/>
      <c r="ET4" s="156"/>
      <c r="EU4" s="156"/>
      <c r="EV4" s="156"/>
      <c r="EW4" s="156"/>
      <c r="EX4" s="156"/>
      <c r="EY4" s="156"/>
      <c r="EZ4" s="157"/>
    </row>
    <row r="5" spans="1:156" ht="13">
      <c r="A5" s="182" t="s">
        <v>73</v>
      </c>
      <c r="B5" s="183"/>
      <c r="C5" s="65" t="s">
        <v>1</v>
      </c>
      <c r="D5" s="184" t="s">
        <v>312</v>
      </c>
      <c r="E5" s="180"/>
      <c r="F5" s="180"/>
      <c r="G5" s="181"/>
      <c r="N5" s="17"/>
      <c r="O5" s="17"/>
      <c r="P5" s="18"/>
      <c r="AA5" s="167"/>
      <c r="AB5" s="25" t="s">
        <v>4</v>
      </c>
      <c r="AC5" s="25" t="s">
        <v>5</v>
      </c>
      <c r="AD5" s="25" t="s">
        <v>7</v>
      </c>
      <c r="AE5" s="25" t="s">
        <v>9</v>
      </c>
      <c r="AF5" s="25" t="s">
        <v>12</v>
      </c>
      <c r="AG5" s="25" t="s">
        <v>13</v>
      </c>
      <c r="AH5" s="25" t="s">
        <v>14</v>
      </c>
      <c r="AI5" s="25" t="s">
        <v>15</v>
      </c>
      <c r="AJ5" s="25" t="s">
        <v>11</v>
      </c>
      <c r="AK5" s="167"/>
      <c r="AL5" s="25" t="s">
        <v>4</v>
      </c>
      <c r="AM5" s="25" t="s">
        <v>5</v>
      </c>
      <c r="AN5" s="25" t="s">
        <v>7</v>
      </c>
      <c r="AO5" s="25" t="s">
        <v>9</v>
      </c>
      <c r="AP5" s="25" t="s">
        <v>12</v>
      </c>
      <c r="AQ5" s="25" t="s">
        <v>13</v>
      </c>
      <c r="AR5" s="25" t="s">
        <v>14</v>
      </c>
      <c r="AS5" s="25" t="s">
        <v>15</v>
      </c>
      <c r="AT5" s="25" t="s">
        <v>11</v>
      </c>
      <c r="AU5" s="167"/>
      <c r="AV5" s="25" t="s">
        <v>4</v>
      </c>
      <c r="AW5" s="25" t="s">
        <v>5</v>
      </c>
      <c r="AX5" s="25" t="s">
        <v>7</v>
      </c>
      <c r="AY5" s="25" t="s">
        <v>9</v>
      </c>
      <c r="AZ5" s="25" t="s">
        <v>12</v>
      </c>
      <c r="BA5" s="25" t="s">
        <v>13</v>
      </c>
      <c r="BB5" s="25" t="s">
        <v>14</v>
      </c>
      <c r="BC5" s="25" t="s">
        <v>15</v>
      </c>
      <c r="BD5" s="25" t="s">
        <v>11</v>
      </c>
      <c r="BE5" s="167"/>
      <c r="BF5" s="25" t="s">
        <v>4</v>
      </c>
      <c r="BG5" s="25" t="s">
        <v>5</v>
      </c>
      <c r="BH5" s="25" t="s">
        <v>7</v>
      </c>
      <c r="BI5" s="25" t="s">
        <v>9</v>
      </c>
      <c r="BJ5" s="25" t="s">
        <v>12</v>
      </c>
      <c r="BK5" s="25" t="s">
        <v>13</v>
      </c>
      <c r="BL5" s="25" t="s">
        <v>14</v>
      </c>
      <c r="BM5" s="25" t="s">
        <v>15</v>
      </c>
      <c r="BN5" s="25" t="s">
        <v>11</v>
      </c>
      <c r="BO5" s="167"/>
      <c r="BP5" s="25" t="s">
        <v>4</v>
      </c>
      <c r="BQ5" s="25" t="s">
        <v>5</v>
      </c>
      <c r="BR5" s="25" t="s">
        <v>7</v>
      </c>
      <c r="BS5" s="25" t="s">
        <v>9</v>
      </c>
      <c r="BT5" s="25" t="s">
        <v>12</v>
      </c>
      <c r="BU5" s="25" t="s">
        <v>13</v>
      </c>
      <c r="BV5" s="25" t="s">
        <v>14</v>
      </c>
      <c r="BW5" s="25" t="s">
        <v>15</v>
      </c>
      <c r="BX5" s="25" t="s">
        <v>11</v>
      </c>
      <c r="BY5" s="167"/>
      <c r="BZ5" s="25" t="s">
        <v>4</v>
      </c>
      <c r="CA5" s="25" t="s">
        <v>5</v>
      </c>
      <c r="CB5" s="25" t="s">
        <v>7</v>
      </c>
      <c r="CC5" s="25" t="s">
        <v>9</v>
      </c>
      <c r="CD5" s="25" t="s">
        <v>12</v>
      </c>
      <c r="CE5" s="25" t="s">
        <v>13</v>
      </c>
      <c r="CF5" s="25" t="s">
        <v>14</v>
      </c>
      <c r="CG5" s="25" t="s">
        <v>15</v>
      </c>
      <c r="CH5" s="25" t="s">
        <v>11</v>
      </c>
      <c r="CI5" s="167"/>
      <c r="CJ5" s="25" t="s">
        <v>4</v>
      </c>
      <c r="CK5" s="25" t="s">
        <v>5</v>
      </c>
      <c r="CL5" s="25" t="s">
        <v>7</v>
      </c>
      <c r="CM5" s="25" t="s">
        <v>9</v>
      </c>
      <c r="CN5" s="25" t="s">
        <v>12</v>
      </c>
      <c r="CO5" s="25" t="s">
        <v>13</v>
      </c>
      <c r="CP5" s="25" t="s">
        <v>14</v>
      </c>
      <c r="CQ5" s="25" t="s">
        <v>15</v>
      </c>
      <c r="CR5" s="25" t="s">
        <v>11</v>
      </c>
      <c r="CS5" s="167"/>
      <c r="CT5" s="25" t="s">
        <v>4</v>
      </c>
      <c r="CU5" s="25" t="s">
        <v>5</v>
      </c>
      <c r="CV5" s="25" t="s">
        <v>7</v>
      </c>
      <c r="CW5" s="25" t="s">
        <v>9</v>
      </c>
      <c r="CX5" s="25" t="s">
        <v>12</v>
      </c>
      <c r="CY5" s="25" t="s">
        <v>13</v>
      </c>
      <c r="CZ5" s="25" t="s">
        <v>14</v>
      </c>
      <c r="DA5" s="25" t="s">
        <v>15</v>
      </c>
      <c r="DB5" s="25" t="s">
        <v>11</v>
      </c>
      <c r="DC5" s="167"/>
      <c r="DD5" s="25" t="s">
        <v>4</v>
      </c>
      <c r="DE5" s="25" t="s">
        <v>5</v>
      </c>
      <c r="DF5" s="25" t="s">
        <v>7</v>
      </c>
      <c r="DG5" s="25" t="s">
        <v>9</v>
      </c>
      <c r="DH5" s="25" t="s">
        <v>12</v>
      </c>
      <c r="DI5" s="25" t="s">
        <v>13</v>
      </c>
      <c r="DJ5" s="25" t="s">
        <v>14</v>
      </c>
      <c r="DK5" s="25" t="s">
        <v>15</v>
      </c>
      <c r="DL5" s="25" t="s">
        <v>11</v>
      </c>
      <c r="DM5" s="167"/>
      <c r="DN5" s="25" t="s">
        <v>4</v>
      </c>
      <c r="DO5" s="25" t="s">
        <v>5</v>
      </c>
      <c r="DP5" s="25" t="s">
        <v>7</v>
      </c>
      <c r="DQ5" s="25" t="s">
        <v>9</v>
      </c>
      <c r="DR5" s="25" t="s">
        <v>12</v>
      </c>
      <c r="DS5" s="25" t="s">
        <v>13</v>
      </c>
      <c r="DT5" s="25" t="s">
        <v>14</v>
      </c>
      <c r="DU5" s="25" t="s">
        <v>15</v>
      </c>
      <c r="DV5" s="25" t="s">
        <v>11</v>
      </c>
      <c r="DW5" s="167"/>
      <c r="DX5" s="25" t="s">
        <v>4</v>
      </c>
      <c r="DY5" s="25" t="s">
        <v>5</v>
      </c>
      <c r="DZ5" s="25" t="s">
        <v>7</v>
      </c>
      <c r="EA5" s="25" t="s">
        <v>9</v>
      </c>
      <c r="EB5" s="25" t="s">
        <v>12</v>
      </c>
      <c r="EC5" s="25" t="s">
        <v>13</v>
      </c>
      <c r="ED5" s="25" t="s">
        <v>14</v>
      </c>
      <c r="EE5" s="25" t="s">
        <v>15</v>
      </c>
      <c r="EF5" s="25" t="s">
        <v>11</v>
      </c>
      <c r="EG5" s="167"/>
      <c r="EH5" s="25" t="s">
        <v>4</v>
      </c>
      <c r="EI5" s="25" t="s">
        <v>5</v>
      </c>
      <c r="EJ5" s="25" t="s">
        <v>7</v>
      </c>
      <c r="EK5" s="25" t="s">
        <v>9</v>
      </c>
      <c r="EL5" s="25" t="s">
        <v>12</v>
      </c>
      <c r="EM5" s="25" t="s">
        <v>13</v>
      </c>
      <c r="EN5" s="25" t="s">
        <v>14</v>
      </c>
      <c r="EO5" s="25" t="s">
        <v>15</v>
      </c>
      <c r="EP5" s="25" t="s">
        <v>11</v>
      </c>
      <c r="EQ5" s="167"/>
      <c r="ER5" s="25" t="s">
        <v>4</v>
      </c>
      <c r="ES5" s="25" t="s">
        <v>5</v>
      </c>
      <c r="ET5" s="25" t="s">
        <v>7</v>
      </c>
      <c r="EU5" s="25" t="s">
        <v>9</v>
      </c>
      <c r="EV5" s="25" t="s">
        <v>12</v>
      </c>
      <c r="EW5" s="25" t="s">
        <v>13</v>
      </c>
      <c r="EX5" s="25" t="s">
        <v>14</v>
      </c>
      <c r="EY5" s="25" t="s">
        <v>15</v>
      </c>
      <c r="EZ5" s="25" t="s">
        <v>11</v>
      </c>
    </row>
    <row r="6" spans="1:156" ht="13">
      <c r="A6" s="182" t="s">
        <v>40</v>
      </c>
      <c r="B6" s="183"/>
      <c r="C6" s="65" t="s">
        <v>1</v>
      </c>
      <c r="D6" s="185">
        <v>34316</v>
      </c>
      <c r="E6" s="186"/>
      <c r="F6" s="186"/>
      <c r="G6" s="187"/>
      <c r="N6" s="17"/>
      <c r="O6" s="17"/>
      <c r="P6" s="18"/>
      <c r="AA6" s="26">
        <v>0</v>
      </c>
      <c r="AB6" s="22">
        <v>71</v>
      </c>
      <c r="AC6" s="22">
        <v>70</v>
      </c>
      <c r="AD6" s="22">
        <v>78</v>
      </c>
      <c r="AE6" s="22">
        <v>79</v>
      </c>
      <c r="AF6" s="22">
        <v>78</v>
      </c>
      <c r="AG6" s="22">
        <v>82</v>
      </c>
      <c r="AH6" s="22">
        <v>74</v>
      </c>
      <c r="AI6" s="22">
        <v>73</v>
      </c>
      <c r="AJ6" s="22">
        <v>78</v>
      </c>
      <c r="AK6" s="26">
        <v>0</v>
      </c>
      <c r="AL6" s="27">
        <v>72</v>
      </c>
      <c r="AM6" s="27">
        <v>70</v>
      </c>
      <c r="AN6" s="27">
        <v>78</v>
      </c>
      <c r="AO6" s="27">
        <v>78</v>
      </c>
      <c r="AP6" s="27">
        <v>75</v>
      </c>
      <c r="AQ6" s="27">
        <v>82</v>
      </c>
      <c r="AR6" s="27">
        <v>75</v>
      </c>
      <c r="AS6" s="27">
        <v>73</v>
      </c>
      <c r="AT6" s="27">
        <v>70</v>
      </c>
      <c r="AU6" s="26">
        <v>0</v>
      </c>
      <c r="AV6" s="28">
        <v>73</v>
      </c>
      <c r="AW6" s="28">
        <v>70</v>
      </c>
      <c r="AX6" s="28">
        <v>78</v>
      </c>
      <c r="AY6" s="28">
        <v>82</v>
      </c>
      <c r="AZ6" s="28">
        <v>79</v>
      </c>
      <c r="BA6" s="28">
        <v>81</v>
      </c>
      <c r="BB6" s="28">
        <v>77</v>
      </c>
      <c r="BC6" s="28">
        <v>73</v>
      </c>
      <c r="BD6" s="28">
        <v>77</v>
      </c>
      <c r="BE6" s="26">
        <v>0</v>
      </c>
      <c r="BF6" s="29">
        <v>74</v>
      </c>
      <c r="BG6" s="29">
        <v>68</v>
      </c>
      <c r="BH6" s="29">
        <v>77</v>
      </c>
      <c r="BI6" s="29">
        <v>79</v>
      </c>
      <c r="BJ6" s="29">
        <v>77</v>
      </c>
      <c r="BK6" s="29">
        <v>80</v>
      </c>
      <c r="BL6" s="29">
        <v>76</v>
      </c>
      <c r="BM6" s="29">
        <v>76</v>
      </c>
      <c r="BN6" s="29">
        <v>73</v>
      </c>
      <c r="BO6" s="26">
        <v>0</v>
      </c>
      <c r="BP6" s="30">
        <v>72</v>
      </c>
      <c r="BQ6" s="30">
        <v>65</v>
      </c>
      <c r="BR6" s="30">
        <v>78</v>
      </c>
      <c r="BS6" s="30">
        <v>78</v>
      </c>
      <c r="BT6" s="30">
        <v>76</v>
      </c>
      <c r="BU6" s="30">
        <v>79</v>
      </c>
      <c r="BV6" s="30">
        <v>76</v>
      </c>
      <c r="BW6" s="30">
        <v>76</v>
      </c>
      <c r="BX6" s="30">
        <v>74</v>
      </c>
      <c r="BY6" s="26">
        <v>0</v>
      </c>
      <c r="BZ6" s="31">
        <v>72</v>
      </c>
      <c r="CA6" s="31">
        <v>64</v>
      </c>
      <c r="CB6" s="31">
        <v>76</v>
      </c>
      <c r="CC6" s="31">
        <v>75</v>
      </c>
      <c r="CD6" s="31">
        <v>75</v>
      </c>
      <c r="CE6" s="31">
        <v>79</v>
      </c>
      <c r="CF6" s="31">
        <v>74</v>
      </c>
      <c r="CG6" s="31">
        <v>74</v>
      </c>
      <c r="CH6" s="31">
        <v>73</v>
      </c>
      <c r="CI6" s="26">
        <v>0</v>
      </c>
      <c r="CJ6" s="22">
        <v>68</v>
      </c>
      <c r="CK6" s="22">
        <v>61</v>
      </c>
      <c r="CL6" s="22">
        <v>74</v>
      </c>
      <c r="CM6" s="22">
        <v>72</v>
      </c>
      <c r="CN6" s="22">
        <v>74</v>
      </c>
      <c r="CO6" s="22">
        <v>78</v>
      </c>
      <c r="CP6" s="22">
        <v>74</v>
      </c>
      <c r="CQ6" s="22">
        <v>74</v>
      </c>
      <c r="CR6" s="22">
        <v>70</v>
      </c>
      <c r="CS6" s="26">
        <v>0</v>
      </c>
      <c r="CT6" s="27">
        <v>66</v>
      </c>
      <c r="CU6" s="27">
        <v>63</v>
      </c>
      <c r="CV6" s="27">
        <v>75</v>
      </c>
      <c r="CW6" s="27">
        <v>74</v>
      </c>
      <c r="CX6" s="27">
        <v>75</v>
      </c>
      <c r="CY6" s="27">
        <v>80</v>
      </c>
      <c r="CZ6" s="27">
        <v>75</v>
      </c>
      <c r="DA6" s="27">
        <v>75</v>
      </c>
      <c r="DB6" s="27">
        <v>74</v>
      </c>
      <c r="DC6" s="26">
        <v>0</v>
      </c>
      <c r="DD6" s="28">
        <v>65</v>
      </c>
      <c r="DE6" s="28">
        <v>65</v>
      </c>
      <c r="DF6" s="28">
        <v>77</v>
      </c>
      <c r="DG6" s="28">
        <v>73</v>
      </c>
      <c r="DH6" s="28">
        <v>72</v>
      </c>
      <c r="DI6" s="28">
        <v>77</v>
      </c>
      <c r="DJ6" s="28">
        <v>74</v>
      </c>
      <c r="DK6" s="28">
        <v>74</v>
      </c>
      <c r="DL6" s="28">
        <v>77</v>
      </c>
      <c r="DM6" s="26">
        <v>0</v>
      </c>
      <c r="DN6" s="29">
        <v>65</v>
      </c>
      <c r="DO6" s="29">
        <v>65</v>
      </c>
      <c r="DP6" s="29">
        <v>78</v>
      </c>
      <c r="DQ6" s="29">
        <v>75</v>
      </c>
      <c r="DR6" s="29">
        <v>75</v>
      </c>
      <c r="DS6" s="29">
        <v>80</v>
      </c>
      <c r="DT6" s="29">
        <v>75</v>
      </c>
      <c r="DU6" s="29">
        <v>76</v>
      </c>
      <c r="DV6" s="29">
        <v>78</v>
      </c>
      <c r="DW6" s="26">
        <v>0</v>
      </c>
      <c r="DX6" s="30">
        <v>68</v>
      </c>
      <c r="DY6" s="30">
        <v>69</v>
      </c>
      <c r="DZ6" s="30">
        <v>79</v>
      </c>
      <c r="EA6" s="30">
        <v>76</v>
      </c>
      <c r="EB6" s="30">
        <v>75</v>
      </c>
      <c r="EC6" s="30">
        <v>79</v>
      </c>
      <c r="ED6" s="30">
        <v>77</v>
      </c>
      <c r="EE6" s="30">
        <v>77</v>
      </c>
      <c r="EF6" s="30">
        <v>81</v>
      </c>
      <c r="EG6" s="26">
        <v>0</v>
      </c>
      <c r="EH6" s="31">
        <v>73</v>
      </c>
      <c r="EI6" s="31">
        <v>73</v>
      </c>
      <c r="EJ6" s="31">
        <v>81</v>
      </c>
      <c r="EK6" s="31">
        <v>76</v>
      </c>
      <c r="EL6" s="31">
        <v>77</v>
      </c>
      <c r="EM6" s="31">
        <v>80</v>
      </c>
      <c r="EN6" s="31">
        <v>79</v>
      </c>
      <c r="EO6" s="31">
        <v>78</v>
      </c>
      <c r="EP6" s="31">
        <v>82</v>
      </c>
      <c r="EQ6" s="26">
        <v>0</v>
      </c>
      <c r="ER6" s="27">
        <v>75</v>
      </c>
      <c r="ES6" s="27">
        <v>75</v>
      </c>
      <c r="ET6" s="27">
        <v>82</v>
      </c>
      <c r="EU6" s="27">
        <v>77</v>
      </c>
      <c r="EV6" s="27">
        <v>77</v>
      </c>
      <c r="EW6" s="27">
        <v>81</v>
      </c>
      <c r="EX6" s="27">
        <v>80</v>
      </c>
      <c r="EY6" s="27">
        <v>78</v>
      </c>
      <c r="EZ6" s="27">
        <v>84</v>
      </c>
    </row>
    <row r="7" spans="1:156" ht="13">
      <c r="A7" s="182" t="s">
        <v>6</v>
      </c>
      <c r="B7" s="183"/>
      <c r="C7" s="65" t="s">
        <v>1</v>
      </c>
      <c r="D7" s="185">
        <v>43754</v>
      </c>
      <c r="E7" s="186"/>
      <c r="F7" s="186"/>
      <c r="G7" s="187"/>
      <c r="N7" s="17"/>
      <c r="O7" s="17"/>
      <c r="P7" s="18"/>
      <c r="AA7" s="26">
        <v>1</v>
      </c>
      <c r="AB7" s="22">
        <v>75</v>
      </c>
      <c r="AC7" s="22">
        <v>74</v>
      </c>
      <c r="AD7" s="22">
        <v>81</v>
      </c>
      <c r="AE7" s="22">
        <v>82</v>
      </c>
      <c r="AF7" s="22">
        <v>81</v>
      </c>
      <c r="AG7" s="22">
        <v>85</v>
      </c>
      <c r="AH7" s="22">
        <v>78</v>
      </c>
      <c r="AI7" s="22">
        <v>77</v>
      </c>
      <c r="AJ7" s="22">
        <v>82</v>
      </c>
      <c r="AK7" s="26">
        <v>1</v>
      </c>
      <c r="AL7" s="27">
        <v>75</v>
      </c>
      <c r="AM7" s="27">
        <v>74</v>
      </c>
      <c r="AN7" s="27">
        <v>82</v>
      </c>
      <c r="AO7" s="27">
        <v>81</v>
      </c>
      <c r="AP7" s="27">
        <v>78</v>
      </c>
      <c r="AQ7" s="27">
        <v>85</v>
      </c>
      <c r="AR7" s="27">
        <v>78</v>
      </c>
      <c r="AS7" s="27">
        <v>77</v>
      </c>
      <c r="AT7" s="27">
        <v>82</v>
      </c>
      <c r="AU7" s="26">
        <v>1</v>
      </c>
      <c r="AV7" s="28">
        <v>77</v>
      </c>
      <c r="AW7" s="28">
        <v>74</v>
      </c>
      <c r="AX7" s="28">
        <v>81</v>
      </c>
      <c r="AY7" s="28">
        <v>84</v>
      </c>
      <c r="AZ7" s="28">
        <v>82</v>
      </c>
      <c r="BA7" s="28">
        <v>84</v>
      </c>
      <c r="BB7" s="28">
        <v>80</v>
      </c>
      <c r="BC7" s="28">
        <v>76</v>
      </c>
      <c r="BD7" s="28">
        <v>80</v>
      </c>
      <c r="BE7" s="26">
        <v>1</v>
      </c>
      <c r="BF7" s="29">
        <v>77</v>
      </c>
      <c r="BG7" s="29">
        <v>72</v>
      </c>
      <c r="BH7" s="29">
        <v>80</v>
      </c>
      <c r="BI7" s="29">
        <v>81</v>
      </c>
      <c r="BJ7" s="29">
        <v>80</v>
      </c>
      <c r="BK7" s="29">
        <v>83</v>
      </c>
      <c r="BL7" s="29">
        <v>79</v>
      </c>
      <c r="BM7" s="29">
        <v>79</v>
      </c>
      <c r="BN7" s="29">
        <v>76</v>
      </c>
      <c r="BO7" s="26">
        <v>1</v>
      </c>
      <c r="BP7" s="30">
        <v>75</v>
      </c>
      <c r="BQ7" s="30">
        <v>69</v>
      </c>
      <c r="BR7" s="30">
        <v>81</v>
      </c>
      <c r="BS7" s="30">
        <v>80</v>
      </c>
      <c r="BT7" s="30">
        <v>79</v>
      </c>
      <c r="BU7" s="30">
        <v>81</v>
      </c>
      <c r="BV7" s="30">
        <v>79</v>
      </c>
      <c r="BW7" s="30">
        <v>79</v>
      </c>
      <c r="BX7" s="30">
        <v>76</v>
      </c>
      <c r="BY7" s="26">
        <v>1</v>
      </c>
      <c r="BZ7" s="31">
        <v>75</v>
      </c>
      <c r="CA7" s="31">
        <v>66</v>
      </c>
      <c r="CB7" s="31">
        <v>79</v>
      </c>
      <c r="CC7" s="31">
        <f>AVERAGE(CC6,CC8)</f>
        <v>76.5</v>
      </c>
      <c r="CD7" s="31">
        <v>78</v>
      </c>
      <c r="CE7" s="31">
        <v>81</v>
      </c>
      <c r="CF7" s="31">
        <v>76</v>
      </c>
      <c r="CG7" s="31">
        <v>76</v>
      </c>
      <c r="CH7" s="31">
        <v>76</v>
      </c>
      <c r="CI7" s="26">
        <v>1</v>
      </c>
      <c r="CJ7" s="22">
        <v>70</v>
      </c>
      <c r="CK7" s="22">
        <v>64</v>
      </c>
      <c r="CL7" s="22">
        <v>76</v>
      </c>
      <c r="CM7" s="22">
        <v>74</v>
      </c>
      <c r="CN7" s="22">
        <v>77</v>
      </c>
      <c r="CO7" s="22">
        <v>80</v>
      </c>
      <c r="CP7" s="22">
        <v>77</v>
      </c>
      <c r="CQ7" s="22">
        <v>77</v>
      </c>
      <c r="CR7" s="22">
        <v>73</v>
      </c>
      <c r="CS7" s="26">
        <v>1</v>
      </c>
      <c r="CT7" s="27">
        <v>68</v>
      </c>
      <c r="CU7" s="27">
        <v>66</v>
      </c>
      <c r="CV7" s="27">
        <v>78</v>
      </c>
      <c r="CW7" s="27">
        <v>76</v>
      </c>
      <c r="CX7" s="27">
        <v>77</v>
      </c>
      <c r="CY7" s="27">
        <v>82</v>
      </c>
      <c r="CZ7" s="27">
        <v>78</v>
      </c>
      <c r="DA7" s="27">
        <v>78</v>
      </c>
      <c r="DB7" s="27">
        <v>77</v>
      </c>
      <c r="DC7" s="26">
        <v>1</v>
      </c>
      <c r="DD7" s="28">
        <v>67</v>
      </c>
      <c r="DE7" s="28">
        <v>69</v>
      </c>
      <c r="DF7" s="28">
        <v>79</v>
      </c>
      <c r="DG7" s="28">
        <v>75</v>
      </c>
      <c r="DH7" s="28">
        <v>76</v>
      </c>
      <c r="DI7" s="28">
        <v>80</v>
      </c>
      <c r="DJ7" s="28">
        <v>77</v>
      </c>
      <c r="DK7" s="28">
        <v>77</v>
      </c>
      <c r="DL7" s="28">
        <v>80</v>
      </c>
      <c r="DM7" s="26">
        <v>1</v>
      </c>
      <c r="DN7" s="29">
        <v>68</v>
      </c>
      <c r="DO7" s="29">
        <v>69</v>
      </c>
      <c r="DP7" s="29">
        <v>80</v>
      </c>
      <c r="DQ7" s="29">
        <v>77</v>
      </c>
      <c r="DR7" s="29">
        <v>77</v>
      </c>
      <c r="DS7" s="29">
        <v>82</v>
      </c>
      <c r="DT7" s="29">
        <v>77</v>
      </c>
      <c r="DU7" s="29">
        <v>79</v>
      </c>
      <c r="DV7" s="29">
        <v>80</v>
      </c>
      <c r="DW7" s="26">
        <v>1</v>
      </c>
      <c r="DX7" s="30">
        <v>71</v>
      </c>
      <c r="DY7" s="30">
        <v>72</v>
      </c>
      <c r="DZ7" s="30">
        <v>81</v>
      </c>
      <c r="EA7" s="30">
        <v>78</v>
      </c>
      <c r="EB7" s="30">
        <v>77</v>
      </c>
      <c r="EC7" s="30">
        <v>81</v>
      </c>
      <c r="ED7" s="30">
        <v>80</v>
      </c>
      <c r="EE7" s="30">
        <v>80</v>
      </c>
      <c r="EF7" s="30">
        <v>83</v>
      </c>
      <c r="EG7" s="26">
        <v>1</v>
      </c>
      <c r="EH7" s="31">
        <v>75</v>
      </c>
      <c r="EI7" s="31">
        <v>76</v>
      </c>
      <c r="EJ7" s="31">
        <v>83</v>
      </c>
      <c r="EK7" s="31">
        <v>78</v>
      </c>
      <c r="EL7" s="31">
        <v>79</v>
      </c>
      <c r="EM7" s="31">
        <v>82</v>
      </c>
      <c r="EN7" s="31">
        <v>81</v>
      </c>
      <c r="EO7" s="31">
        <v>81</v>
      </c>
      <c r="EP7" s="31">
        <v>84</v>
      </c>
      <c r="EQ7" s="26">
        <v>1</v>
      </c>
      <c r="ER7" s="27">
        <v>78</v>
      </c>
      <c r="ES7" s="27">
        <v>78</v>
      </c>
      <c r="ET7" s="27">
        <v>85</v>
      </c>
      <c r="EU7" s="27">
        <v>79</v>
      </c>
      <c r="EV7" s="27">
        <v>79</v>
      </c>
      <c r="EW7" s="27">
        <v>83</v>
      </c>
      <c r="EX7" s="27">
        <v>82</v>
      </c>
      <c r="EY7" s="27">
        <v>81</v>
      </c>
      <c r="EZ7" s="27">
        <v>86</v>
      </c>
    </row>
    <row r="8" spans="1:156" ht="12.75" customHeight="1">
      <c r="A8" s="182" t="s">
        <v>41</v>
      </c>
      <c r="B8" s="183"/>
      <c r="C8" s="65" t="s">
        <v>1</v>
      </c>
      <c r="D8" s="41">
        <f>YEAR(D7)-YEAR(D6)</f>
        <v>26</v>
      </c>
      <c r="E8" s="1" t="s">
        <v>42</v>
      </c>
      <c r="G8" s="40"/>
      <c r="N8" s="17"/>
      <c r="O8" s="17"/>
      <c r="P8" s="18"/>
      <c r="AA8" s="26">
        <v>2</v>
      </c>
      <c r="AB8" s="22">
        <v>79</v>
      </c>
      <c r="AC8" s="22">
        <v>78</v>
      </c>
      <c r="AD8" s="22">
        <v>85</v>
      </c>
      <c r="AE8" s="22">
        <v>84</v>
      </c>
      <c r="AF8" s="22">
        <v>85</v>
      </c>
      <c r="AG8" s="22">
        <v>88</v>
      </c>
      <c r="AH8" s="22">
        <v>82</v>
      </c>
      <c r="AI8" s="22">
        <v>80</v>
      </c>
      <c r="AJ8" s="22">
        <v>85</v>
      </c>
      <c r="AK8" s="26">
        <v>2</v>
      </c>
      <c r="AL8" s="27">
        <v>79</v>
      </c>
      <c r="AM8" s="27">
        <v>78</v>
      </c>
      <c r="AN8" s="27">
        <v>85</v>
      </c>
      <c r="AO8" s="27">
        <v>83</v>
      </c>
      <c r="AP8" s="27">
        <v>82</v>
      </c>
      <c r="AQ8" s="27">
        <v>88</v>
      </c>
      <c r="AR8" s="27">
        <v>81</v>
      </c>
      <c r="AS8" s="27">
        <v>80</v>
      </c>
      <c r="AT8" s="27">
        <v>85</v>
      </c>
      <c r="AU8" s="26">
        <v>2</v>
      </c>
      <c r="AV8" s="28">
        <v>80</v>
      </c>
      <c r="AW8" s="28">
        <v>77</v>
      </c>
      <c r="AX8" s="28">
        <v>84</v>
      </c>
      <c r="AY8" s="28">
        <v>86</v>
      </c>
      <c r="AZ8" s="28">
        <v>85</v>
      </c>
      <c r="BA8" s="28">
        <v>87</v>
      </c>
      <c r="BB8" s="28">
        <v>83</v>
      </c>
      <c r="BC8" s="28">
        <v>79</v>
      </c>
      <c r="BD8" s="28">
        <v>82</v>
      </c>
      <c r="BE8" s="26">
        <v>2</v>
      </c>
      <c r="BF8" s="29">
        <v>80</v>
      </c>
      <c r="BG8" s="29">
        <v>75</v>
      </c>
      <c r="BH8" s="29">
        <v>83</v>
      </c>
      <c r="BI8" s="29">
        <v>82</v>
      </c>
      <c r="BJ8" s="29">
        <v>83</v>
      </c>
      <c r="BK8" s="29">
        <v>85</v>
      </c>
      <c r="BL8" s="29">
        <v>82</v>
      </c>
      <c r="BM8" s="29">
        <v>82</v>
      </c>
      <c r="BN8" s="29">
        <v>79</v>
      </c>
      <c r="BO8" s="26">
        <v>2</v>
      </c>
      <c r="BP8" s="30">
        <v>78</v>
      </c>
      <c r="BQ8" s="30">
        <v>72</v>
      </c>
      <c r="BR8" s="30">
        <v>84</v>
      </c>
      <c r="BS8" s="30">
        <v>81</v>
      </c>
      <c r="BT8" s="30">
        <v>82</v>
      </c>
      <c r="BU8" s="30">
        <v>84</v>
      </c>
      <c r="BV8" s="30">
        <v>81</v>
      </c>
      <c r="BW8" s="30">
        <v>82</v>
      </c>
      <c r="BX8" s="30">
        <v>78</v>
      </c>
      <c r="BY8" s="26">
        <v>2</v>
      </c>
      <c r="BZ8" s="31">
        <v>78</v>
      </c>
      <c r="CA8" s="31">
        <v>69</v>
      </c>
      <c r="CB8" s="31">
        <v>81</v>
      </c>
      <c r="CC8" s="31">
        <v>78</v>
      </c>
      <c r="CD8" s="31">
        <v>81</v>
      </c>
      <c r="CE8" s="31">
        <v>84</v>
      </c>
      <c r="CF8" s="31">
        <v>79</v>
      </c>
      <c r="CG8" s="31">
        <v>80</v>
      </c>
      <c r="CH8" s="31">
        <v>78</v>
      </c>
      <c r="CI8" s="26">
        <v>2</v>
      </c>
      <c r="CJ8" s="22">
        <v>73</v>
      </c>
      <c r="CK8" s="22">
        <v>66</v>
      </c>
      <c r="CL8" s="22">
        <v>79</v>
      </c>
      <c r="CM8" s="22">
        <v>76</v>
      </c>
      <c r="CN8" s="22">
        <v>80</v>
      </c>
      <c r="CO8" s="22">
        <v>82</v>
      </c>
      <c r="CP8" s="22">
        <v>79</v>
      </c>
      <c r="CQ8" s="22">
        <v>80</v>
      </c>
      <c r="CR8" s="22">
        <v>76</v>
      </c>
      <c r="CS8" s="26">
        <v>2</v>
      </c>
      <c r="CT8" s="27">
        <v>71</v>
      </c>
      <c r="CU8" s="27">
        <v>69</v>
      </c>
      <c r="CV8" s="27">
        <v>80</v>
      </c>
      <c r="CW8" s="27">
        <v>77</v>
      </c>
      <c r="CX8" s="27">
        <v>80</v>
      </c>
      <c r="CY8" s="27">
        <v>84</v>
      </c>
      <c r="CZ8" s="27">
        <v>80</v>
      </c>
      <c r="DA8" s="27">
        <v>80</v>
      </c>
      <c r="DB8" s="27">
        <v>79</v>
      </c>
      <c r="DC8" s="26">
        <v>2</v>
      </c>
      <c r="DD8" s="28">
        <v>70</v>
      </c>
      <c r="DE8" s="28">
        <v>73</v>
      </c>
      <c r="DF8" s="28">
        <v>81</v>
      </c>
      <c r="DG8" s="28">
        <v>76</v>
      </c>
      <c r="DH8" s="28">
        <v>80</v>
      </c>
      <c r="DI8" s="28">
        <v>82</v>
      </c>
      <c r="DJ8" s="28">
        <v>80</v>
      </c>
      <c r="DK8" s="28">
        <v>80</v>
      </c>
      <c r="DL8" s="28">
        <v>82</v>
      </c>
      <c r="DM8" s="26">
        <v>2</v>
      </c>
      <c r="DN8" s="29">
        <v>71</v>
      </c>
      <c r="DO8" s="29">
        <v>72</v>
      </c>
      <c r="DP8" s="29">
        <v>82</v>
      </c>
      <c r="DQ8" s="29">
        <v>78</v>
      </c>
      <c r="DR8" s="29">
        <v>80</v>
      </c>
      <c r="DS8" s="29">
        <v>84</v>
      </c>
      <c r="DT8" s="29">
        <v>80</v>
      </c>
      <c r="DU8" s="29">
        <v>81</v>
      </c>
      <c r="DV8" s="29">
        <v>83</v>
      </c>
      <c r="DW8" s="26">
        <v>2</v>
      </c>
      <c r="DX8" s="30">
        <v>75</v>
      </c>
      <c r="DY8" s="30">
        <v>75</v>
      </c>
      <c r="DZ8" s="30">
        <v>83</v>
      </c>
      <c r="EA8" s="30">
        <v>79</v>
      </c>
      <c r="EB8" s="30">
        <v>80</v>
      </c>
      <c r="EC8" s="30">
        <v>83</v>
      </c>
      <c r="ED8" s="30">
        <v>82</v>
      </c>
      <c r="EE8" s="30">
        <v>82</v>
      </c>
      <c r="EF8" s="30">
        <v>86</v>
      </c>
      <c r="EG8" s="26">
        <v>2</v>
      </c>
      <c r="EH8" s="31">
        <v>78</v>
      </c>
      <c r="EI8" s="31">
        <v>80</v>
      </c>
      <c r="EJ8" s="31">
        <v>85</v>
      </c>
      <c r="EK8" s="31">
        <v>79</v>
      </c>
      <c r="EL8" s="31">
        <v>82</v>
      </c>
      <c r="EM8" s="31">
        <v>84</v>
      </c>
      <c r="EN8" s="31">
        <v>84</v>
      </c>
      <c r="EO8" s="31">
        <v>84</v>
      </c>
      <c r="EP8" s="31">
        <v>87</v>
      </c>
      <c r="EQ8" s="26">
        <v>2</v>
      </c>
      <c r="ER8" s="27">
        <v>81</v>
      </c>
      <c r="ES8" s="27">
        <v>81</v>
      </c>
      <c r="ET8" s="27">
        <v>87</v>
      </c>
      <c r="EU8" s="27">
        <v>80</v>
      </c>
      <c r="EV8" s="27">
        <v>81</v>
      </c>
      <c r="EW8" s="27">
        <v>85</v>
      </c>
      <c r="EX8" s="27">
        <v>85</v>
      </c>
      <c r="EY8" s="27">
        <v>84</v>
      </c>
      <c r="EZ8" s="27">
        <v>89</v>
      </c>
    </row>
    <row r="9" spans="1:156" ht="12.75" customHeight="1">
      <c r="A9" s="182" t="s">
        <v>10</v>
      </c>
      <c r="B9" s="183"/>
      <c r="C9" s="65" t="s">
        <v>1</v>
      </c>
      <c r="D9" s="184" t="s">
        <v>67</v>
      </c>
      <c r="E9" s="180"/>
      <c r="F9" s="180"/>
      <c r="G9" s="181"/>
      <c r="N9" s="17"/>
      <c r="O9" s="17"/>
      <c r="P9" s="18"/>
      <c r="AA9" s="26">
        <v>3</v>
      </c>
      <c r="AB9" s="22">
        <v>83</v>
      </c>
      <c r="AC9" s="22">
        <v>82</v>
      </c>
      <c r="AD9" s="22">
        <v>89</v>
      </c>
      <c r="AE9" s="22">
        <v>87</v>
      </c>
      <c r="AF9" s="22">
        <v>89</v>
      </c>
      <c r="AG9" s="22">
        <v>92</v>
      </c>
      <c r="AH9" s="22">
        <v>86</v>
      </c>
      <c r="AI9" s="22">
        <v>84</v>
      </c>
      <c r="AJ9" s="22">
        <v>88</v>
      </c>
      <c r="AK9" s="26">
        <v>3</v>
      </c>
      <c r="AL9" s="27">
        <v>83</v>
      </c>
      <c r="AM9" s="27">
        <v>82</v>
      </c>
      <c r="AN9" s="27">
        <v>89</v>
      </c>
      <c r="AO9" s="27">
        <v>86</v>
      </c>
      <c r="AP9" s="27">
        <v>86</v>
      </c>
      <c r="AQ9" s="27">
        <v>91</v>
      </c>
      <c r="AR9" s="27">
        <v>84</v>
      </c>
      <c r="AS9" s="27">
        <v>84</v>
      </c>
      <c r="AT9" s="27">
        <v>88</v>
      </c>
      <c r="AU9" s="26">
        <v>3</v>
      </c>
      <c r="AV9" s="28">
        <v>83</v>
      </c>
      <c r="AW9" s="28">
        <v>81</v>
      </c>
      <c r="AX9" s="28">
        <v>88</v>
      </c>
      <c r="AY9" s="28">
        <v>88</v>
      </c>
      <c r="AZ9" s="28">
        <v>88</v>
      </c>
      <c r="BA9" s="28">
        <v>90</v>
      </c>
      <c r="BB9" s="28">
        <v>85</v>
      </c>
      <c r="BC9" s="28">
        <v>83</v>
      </c>
      <c r="BD9" s="28">
        <v>85</v>
      </c>
      <c r="BE9" s="26">
        <v>3</v>
      </c>
      <c r="BF9" s="29">
        <v>83</v>
      </c>
      <c r="BG9" s="29">
        <v>79</v>
      </c>
      <c r="BH9" s="29">
        <v>86</v>
      </c>
      <c r="BI9" s="29">
        <v>84</v>
      </c>
      <c r="BJ9" s="29">
        <v>86</v>
      </c>
      <c r="BK9" s="29">
        <v>88</v>
      </c>
      <c r="BL9" s="29">
        <v>85</v>
      </c>
      <c r="BM9" s="29">
        <v>85</v>
      </c>
      <c r="BN9" s="29">
        <v>82</v>
      </c>
      <c r="BO9" s="26">
        <v>3</v>
      </c>
      <c r="BP9" s="30">
        <v>81</v>
      </c>
      <c r="BQ9" s="30">
        <v>76</v>
      </c>
      <c r="BR9" s="30">
        <v>86</v>
      </c>
      <c r="BS9" s="30">
        <v>83</v>
      </c>
      <c r="BT9" s="30">
        <v>85</v>
      </c>
      <c r="BU9" s="30">
        <v>86</v>
      </c>
      <c r="BV9" s="30">
        <v>84</v>
      </c>
      <c r="BW9" s="30">
        <v>85</v>
      </c>
      <c r="BX9" s="30">
        <v>81</v>
      </c>
      <c r="BY9" s="26">
        <v>3</v>
      </c>
      <c r="BZ9" s="31">
        <v>81</v>
      </c>
      <c r="CA9" s="31">
        <v>73</v>
      </c>
      <c r="CB9" s="31">
        <v>83</v>
      </c>
      <c r="CC9" s="31">
        <f>AVERAGE(CC8,CC10)</f>
        <v>80</v>
      </c>
      <c r="CD9" s="31">
        <v>84</v>
      </c>
      <c r="CE9" s="31">
        <v>86</v>
      </c>
      <c r="CF9" s="31">
        <v>82</v>
      </c>
      <c r="CG9" s="31">
        <v>83</v>
      </c>
      <c r="CH9" s="31">
        <v>80</v>
      </c>
      <c r="CI9" s="26">
        <v>3</v>
      </c>
      <c r="CJ9" s="22">
        <v>76</v>
      </c>
      <c r="CK9" s="22">
        <v>70</v>
      </c>
      <c r="CL9" s="22">
        <v>81</v>
      </c>
      <c r="CM9" s="22">
        <v>78</v>
      </c>
      <c r="CN9" s="22">
        <v>83</v>
      </c>
      <c r="CO9" s="22">
        <v>85</v>
      </c>
      <c r="CP9" s="22">
        <v>82</v>
      </c>
      <c r="CQ9" s="22">
        <v>83</v>
      </c>
      <c r="CR9" s="22">
        <v>78</v>
      </c>
      <c r="CS9" s="26">
        <v>3</v>
      </c>
      <c r="CT9" s="27">
        <v>74</v>
      </c>
      <c r="CU9" s="27">
        <v>73</v>
      </c>
      <c r="CV9" s="27">
        <v>83</v>
      </c>
      <c r="CW9" s="27">
        <v>79</v>
      </c>
      <c r="CX9" s="27">
        <v>83</v>
      </c>
      <c r="CY9" s="27">
        <v>86</v>
      </c>
      <c r="CZ9" s="27">
        <v>83</v>
      </c>
      <c r="DA9" s="27">
        <v>83</v>
      </c>
      <c r="DB9" s="27">
        <v>81</v>
      </c>
      <c r="DC9" s="26">
        <v>3</v>
      </c>
      <c r="DD9" s="28">
        <v>73</v>
      </c>
      <c r="DE9" s="28">
        <v>75</v>
      </c>
      <c r="DF9" s="28">
        <v>84</v>
      </c>
      <c r="DG9" s="28">
        <v>78</v>
      </c>
      <c r="DH9" s="28">
        <v>82</v>
      </c>
      <c r="DI9" s="28">
        <v>85</v>
      </c>
      <c r="DJ9" s="28">
        <v>82</v>
      </c>
      <c r="DK9" s="28">
        <v>83</v>
      </c>
      <c r="DL9" s="28">
        <v>84</v>
      </c>
      <c r="DM9" s="26">
        <v>3</v>
      </c>
      <c r="DN9" s="29">
        <v>74</v>
      </c>
      <c r="DO9" s="29">
        <v>75</v>
      </c>
      <c r="DP9" s="29">
        <v>84</v>
      </c>
      <c r="DQ9" s="29">
        <v>80</v>
      </c>
      <c r="DR9" s="29">
        <v>83</v>
      </c>
      <c r="DS9" s="29">
        <v>86</v>
      </c>
      <c r="DT9" s="29">
        <v>83</v>
      </c>
      <c r="DU9" s="29">
        <v>84</v>
      </c>
      <c r="DV9" s="29">
        <v>85</v>
      </c>
      <c r="DW9" s="26">
        <v>3</v>
      </c>
      <c r="DX9" s="30">
        <v>77</v>
      </c>
      <c r="DY9" s="30">
        <v>78</v>
      </c>
      <c r="DZ9" s="30">
        <v>86</v>
      </c>
      <c r="EA9" s="30">
        <v>81</v>
      </c>
      <c r="EB9" s="30">
        <v>83</v>
      </c>
      <c r="EC9" s="30">
        <v>86</v>
      </c>
      <c r="ED9" s="30">
        <v>85</v>
      </c>
      <c r="EE9" s="30">
        <v>85</v>
      </c>
      <c r="EF9" s="30">
        <v>88</v>
      </c>
      <c r="EG9" s="26">
        <v>3</v>
      </c>
      <c r="EH9" s="31">
        <v>81</v>
      </c>
      <c r="EI9" s="31">
        <v>83</v>
      </c>
      <c r="EJ9" s="31">
        <v>88</v>
      </c>
      <c r="EK9" s="31">
        <v>81</v>
      </c>
      <c r="EL9" s="31">
        <v>85</v>
      </c>
      <c r="EM9" s="31">
        <v>86</v>
      </c>
      <c r="EN9" s="31">
        <v>86</v>
      </c>
      <c r="EO9" s="31">
        <v>86</v>
      </c>
      <c r="EP9" s="31">
        <v>89</v>
      </c>
      <c r="EQ9" s="26">
        <v>3</v>
      </c>
      <c r="ER9" s="27">
        <v>84</v>
      </c>
      <c r="ES9" s="27">
        <v>84</v>
      </c>
      <c r="ET9" s="27">
        <v>89</v>
      </c>
      <c r="EU9" s="27">
        <v>81</v>
      </c>
      <c r="EV9" s="27">
        <v>84</v>
      </c>
      <c r="EW9" s="27">
        <v>88</v>
      </c>
      <c r="EX9" s="27">
        <v>88</v>
      </c>
      <c r="EY9" s="27">
        <v>87</v>
      </c>
      <c r="EZ9" s="27">
        <v>91</v>
      </c>
    </row>
    <row r="10" spans="1:156" ht="12.75" customHeight="1">
      <c r="A10" s="2"/>
      <c r="B10" s="2"/>
      <c r="C10" s="2"/>
      <c r="D10" s="2"/>
      <c r="E10" s="2"/>
      <c r="F10" s="2"/>
      <c r="N10" s="17"/>
      <c r="O10" s="17"/>
      <c r="P10" s="18"/>
      <c r="AA10" s="26">
        <v>4</v>
      </c>
      <c r="AB10" s="22">
        <v>87</v>
      </c>
      <c r="AC10" s="22">
        <v>86</v>
      </c>
      <c r="AD10" s="22">
        <v>93</v>
      </c>
      <c r="AE10" s="22">
        <v>89</v>
      </c>
      <c r="AF10" s="22">
        <v>93</v>
      </c>
      <c r="AG10" s="22">
        <v>95</v>
      </c>
      <c r="AH10" s="22">
        <v>89</v>
      </c>
      <c r="AI10" s="22">
        <v>88</v>
      </c>
      <c r="AJ10" s="22">
        <v>91</v>
      </c>
      <c r="AK10" s="26">
        <v>4</v>
      </c>
      <c r="AL10" s="27">
        <v>87</v>
      </c>
      <c r="AM10" s="27">
        <v>86</v>
      </c>
      <c r="AN10" s="27">
        <v>92</v>
      </c>
      <c r="AO10" s="27">
        <v>88</v>
      </c>
      <c r="AP10" s="27">
        <v>90</v>
      </c>
      <c r="AQ10" s="27">
        <v>94</v>
      </c>
      <c r="AR10" s="27">
        <v>87</v>
      </c>
      <c r="AS10" s="27">
        <v>87</v>
      </c>
      <c r="AT10" s="27">
        <v>92</v>
      </c>
      <c r="AU10" s="26">
        <v>4</v>
      </c>
      <c r="AV10" s="28">
        <v>87</v>
      </c>
      <c r="AW10" s="28">
        <v>84</v>
      </c>
      <c r="AX10" s="28">
        <v>91</v>
      </c>
      <c r="AY10" s="28">
        <v>89</v>
      </c>
      <c r="AZ10" s="28">
        <v>91</v>
      </c>
      <c r="BA10" s="28">
        <v>92</v>
      </c>
      <c r="BB10" s="28">
        <v>87</v>
      </c>
      <c r="BC10" s="28">
        <v>86</v>
      </c>
      <c r="BD10" s="28">
        <v>87</v>
      </c>
      <c r="BE10" s="26">
        <v>4</v>
      </c>
      <c r="BF10" s="29">
        <v>86</v>
      </c>
      <c r="BG10" s="29">
        <v>82</v>
      </c>
      <c r="BH10" s="29">
        <v>89</v>
      </c>
      <c r="BI10" s="29">
        <v>86</v>
      </c>
      <c r="BJ10" s="29">
        <v>89</v>
      </c>
      <c r="BK10" s="29">
        <v>90</v>
      </c>
      <c r="BL10" s="29">
        <v>87</v>
      </c>
      <c r="BM10" s="29">
        <v>88</v>
      </c>
      <c r="BN10" s="29">
        <v>84</v>
      </c>
      <c r="BO10" s="26">
        <v>4</v>
      </c>
      <c r="BP10" s="30">
        <v>84</v>
      </c>
      <c r="BQ10" s="30">
        <v>80</v>
      </c>
      <c r="BR10" s="30">
        <v>88</v>
      </c>
      <c r="BS10" s="30">
        <v>84</v>
      </c>
      <c r="BT10" s="30">
        <v>88</v>
      </c>
      <c r="BU10" s="30">
        <v>89</v>
      </c>
      <c r="BV10" s="30">
        <v>87</v>
      </c>
      <c r="BW10" s="30">
        <v>88</v>
      </c>
      <c r="BX10" s="30">
        <v>83</v>
      </c>
      <c r="BY10" s="26">
        <v>4</v>
      </c>
      <c r="BZ10" s="31">
        <v>83</v>
      </c>
      <c r="CA10" s="31">
        <v>77</v>
      </c>
      <c r="CB10" s="31">
        <v>86</v>
      </c>
      <c r="CC10" s="31">
        <v>82</v>
      </c>
      <c r="CD10" s="31">
        <v>86</v>
      </c>
      <c r="CE10" s="31">
        <v>88</v>
      </c>
      <c r="CF10" s="31">
        <v>85</v>
      </c>
      <c r="CG10" s="31">
        <v>86</v>
      </c>
      <c r="CH10" s="31">
        <v>83</v>
      </c>
      <c r="CI10" s="26">
        <v>4</v>
      </c>
      <c r="CJ10" s="22">
        <v>79</v>
      </c>
      <c r="CK10" s="22">
        <v>74</v>
      </c>
      <c r="CL10" s="22">
        <v>84</v>
      </c>
      <c r="CM10" s="22">
        <v>79</v>
      </c>
      <c r="CN10" s="22">
        <v>86</v>
      </c>
      <c r="CO10" s="22">
        <v>87</v>
      </c>
      <c r="CP10" s="22">
        <v>85</v>
      </c>
      <c r="CQ10" s="22">
        <v>86</v>
      </c>
      <c r="CR10" s="22">
        <v>81</v>
      </c>
      <c r="CS10" s="26">
        <v>4</v>
      </c>
      <c r="CT10" s="27">
        <v>78</v>
      </c>
      <c r="CU10" s="27">
        <v>76</v>
      </c>
      <c r="CV10" s="27">
        <v>85</v>
      </c>
      <c r="CW10" s="27">
        <v>80</v>
      </c>
      <c r="CX10" s="27">
        <v>86</v>
      </c>
      <c r="CY10" s="27">
        <v>89</v>
      </c>
      <c r="CZ10" s="27">
        <v>85</v>
      </c>
      <c r="DA10" s="27">
        <v>86</v>
      </c>
      <c r="DB10" s="27">
        <v>84</v>
      </c>
      <c r="DC10" s="26">
        <v>4</v>
      </c>
      <c r="DD10" s="28">
        <v>76</v>
      </c>
      <c r="DE10" s="28">
        <v>79</v>
      </c>
      <c r="DF10" s="28">
        <v>86</v>
      </c>
      <c r="DG10" s="28">
        <v>80</v>
      </c>
      <c r="DH10" s="28">
        <v>84</v>
      </c>
      <c r="DI10" s="28">
        <v>87</v>
      </c>
      <c r="DJ10" s="28">
        <v>85</v>
      </c>
      <c r="DK10" s="28">
        <v>85</v>
      </c>
      <c r="DL10" s="28">
        <v>86</v>
      </c>
      <c r="DM10" s="26">
        <v>4</v>
      </c>
      <c r="DN10" s="29">
        <v>78</v>
      </c>
      <c r="DO10" s="29">
        <v>79</v>
      </c>
      <c r="DP10" s="29">
        <v>86</v>
      </c>
      <c r="DQ10" s="29">
        <v>81</v>
      </c>
      <c r="DR10" s="29">
        <v>85</v>
      </c>
      <c r="DS10" s="29">
        <v>89</v>
      </c>
      <c r="DT10" s="29">
        <v>85</v>
      </c>
      <c r="DU10" s="29">
        <v>87</v>
      </c>
      <c r="DV10" s="29">
        <v>87</v>
      </c>
      <c r="DW10" s="26">
        <v>4</v>
      </c>
      <c r="DX10" s="30">
        <v>80</v>
      </c>
      <c r="DY10" s="30">
        <v>81</v>
      </c>
      <c r="DZ10" s="30">
        <v>89</v>
      </c>
      <c r="EA10" s="30">
        <v>82</v>
      </c>
      <c r="EB10" s="30">
        <v>86</v>
      </c>
      <c r="EC10" s="30">
        <v>88</v>
      </c>
      <c r="ED10" s="30">
        <v>87</v>
      </c>
      <c r="EE10" s="30">
        <v>87</v>
      </c>
      <c r="EF10" s="30">
        <v>90</v>
      </c>
      <c r="EG10" s="26">
        <v>4</v>
      </c>
      <c r="EH10" s="31">
        <v>84</v>
      </c>
      <c r="EI10" s="31">
        <v>85</v>
      </c>
      <c r="EJ10" s="31">
        <v>90</v>
      </c>
      <c r="EK10" s="31">
        <v>82</v>
      </c>
      <c r="EL10" s="31">
        <v>88</v>
      </c>
      <c r="EM10" s="31">
        <v>89</v>
      </c>
      <c r="EN10" s="31">
        <v>89</v>
      </c>
      <c r="EO10" s="31">
        <v>89</v>
      </c>
      <c r="EP10" s="31">
        <v>91</v>
      </c>
      <c r="EQ10" s="26">
        <v>4</v>
      </c>
      <c r="ER10" s="27">
        <v>87</v>
      </c>
      <c r="ES10" s="27">
        <v>87</v>
      </c>
      <c r="ET10" s="27">
        <v>91</v>
      </c>
      <c r="EU10" s="27">
        <v>82</v>
      </c>
      <c r="EV10" s="27">
        <v>88</v>
      </c>
      <c r="EW10" s="27">
        <v>90</v>
      </c>
      <c r="EX10" s="27">
        <v>91</v>
      </c>
      <c r="EY10" s="27">
        <v>89</v>
      </c>
      <c r="EZ10" s="27">
        <v>93</v>
      </c>
    </row>
    <row r="11" spans="1:156" ht="12.75" customHeight="1">
      <c r="A11" s="3"/>
      <c r="B11" s="2"/>
      <c r="C11" s="2"/>
      <c r="D11" s="2"/>
      <c r="E11" s="2"/>
      <c r="F11" s="2"/>
      <c r="N11" s="17"/>
      <c r="O11" s="17"/>
      <c r="P11" s="18"/>
      <c r="AA11" s="26">
        <v>5</v>
      </c>
      <c r="AB11" s="22">
        <v>91</v>
      </c>
      <c r="AC11" s="22">
        <v>90</v>
      </c>
      <c r="AD11" s="22">
        <v>96</v>
      </c>
      <c r="AE11" s="22">
        <v>92</v>
      </c>
      <c r="AF11" s="22">
        <v>96</v>
      </c>
      <c r="AG11" s="22">
        <v>98</v>
      </c>
      <c r="AH11" s="22">
        <v>93</v>
      </c>
      <c r="AI11" s="22">
        <v>91</v>
      </c>
      <c r="AJ11" s="22">
        <v>94</v>
      </c>
      <c r="AK11" s="26">
        <v>5</v>
      </c>
      <c r="AL11" s="27">
        <v>91</v>
      </c>
      <c r="AM11" s="27">
        <v>89</v>
      </c>
      <c r="AN11" s="27">
        <v>96</v>
      </c>
      <c r="AO11" s="27">
        <v>90</v>
      </c>
      <c r="AP11" s="27">
        <v>93</v>
      </c>
      <c r="AQ11" s="27">
        <v>97</v>
      </c>
      <c r="AR11" s="27">
        <v>91</v>
      </c>
      <c r="AS11" s="27">
        <v>90</v>
      </c>
      <c r="AT11" s="27">
        <v>94</v>
      </c>
      <c r="AU11" s="26">
        <v>5</v>
      </c>
      <c r="AV11" s="28">
        <v>90</v>
      </c>
      <c r="AW11" s="28">
        <v>88</v>
      </c>
      <c r="AX11" s="28">
        <v>94</v>
      </c>
      <c r="AY11" s="28">
        <v>91</v>
      </c>
      <c r="AZ11" s="28">
        <v>94</v>
      </c>
      <c r="BA11" s="28">
        <v>95</v>
      </c>
      <c r="BB11" s="28">
        <v>90</v>
      </c>
      <c r="BC11" s="28">
        <v>90</v>
      </c>
      <c r="BD11" s="28">
        <v>90</v>
      </c>
      <c r="BE11" s="26">
        <v>5</v>
      </c>
      <c r="BF11" s="29">
        <v>89</v>
      </c>
      <c r="BG11" s="29">
        <v>86</v>
      </c>
      <c r="BH11" s="29">
        <v>92</v>
      </c>
      <c r="BI11" s="29">
        <v>88</v>
      </c>
      <c r="BJ11" s="29">
        <v>92</v>
      </c>
      <c r="BK11" s="29">
        <v>92</v>
      </c>
      <c r="BL11" s="29">
        <v>90</v>
      </c>
      <c r="BM11" s="29">
        <v>91</v>
      </c>
      <c r="BN11" s="29">
        <v>87</v>
      </c>
      <c r="BO11" s="26">
        <v>5</v>
      </c>
      <c r="BP11" s="30">
        <v>87</v>
      </c>
      <c r="BQ11" s="30">
        <v>84</v>
      </c>
      <c r="BR11" s="30">
        <v>91</v>
      </c>
      <c r="BS11" s="30">
        <v>86</v>
      </c>
      <c r="BT11" s="30">
        <v>91</v>
      </c>
      <c r="BU11" s="30">
        <v>91</v>
      </c>
      <c r="BV11" s="30">
        <v>89</v>
      </c>
      <c r="BW11" s="30">
        <v>90</v>
      </c>
      <c r="BX11" s="30">
        <v>86</v>
      </c>
      <c r="BY11" s="26">
        <v>5</v>
      </c>
      <c r="BZ11" s="31">
        <v>86</v>
      </c>
      <c r="CA11" s="31">
        <v>81</v>
      </c>
      <c r="CB11" s="31">
        <v>89</v>
      </c>
      <c r="CC11" s="31">
        <f>AVERAGE(CC10,CC12)</f>
        <v>83.5</v>
      </c>
      <c r="CD11" s="31">
        <v>89</v>
      </c>
      <c r="CE11" s="31">
        <v>91</v>
      </c>
      <c r="CF11" s="31">
        <v>88</v>
      </c>
      <c r="CG11" s="31">
        <v>89</v>
      </c>
      <c r="CH11" s="31">
        <v>85</v>
      </c>
      <c r="CI11" s="26">
        <v>5</v>
      </c>
      <c r="CJ11" s="22">
        <v>82</v>
      </c>
      <c r="CK11" s="22">
        <v>78</v>
      </c>
      <c r="CL11" s="22">
        <v>86</v>
      </c>
      <c r="CM11" s="22">
        <v>81</v>
      </c>
      <c r="CN11" s="22">
        <v>89</v>
      </c>
      <c r="CO11" s="22">
        <v>90</v>
      </c>
      <c r="CP11" s="22">
        <v>87</v>
      </c>
      <c r="CQ11" s="22">
        <v>89</v>
      </c>
      <c r="CR11" s="22">
        <v>83</v>
      </c>
      <c r="CS11" s="26">
        <v>5</v>
      </c>
      <c r="CT11" s="27">
        <v>80</v>
      </c>
      <c r="CU11" s="27">
        <v>80</v>
      </c>
      <c r="CV11" s="27">
        <v>88</v>
      </c>
      <c r="CW11" s="27">
        <v>82</v>
      </c>
      <c r="CX11" s="27">
        <v>88</v>
      </c>
      <c r="CY11" s="27">
        <v>91</v>
      </c>
      <c r="CZ11" s="27">
        <v>88</v>
      </c>
      <c r="DA11" s="27">
        <v>89</v>
      </c>
      <c r="DB11" s="27">
        <v>86</v>
      </c>
      <c r="DC11" s="26">
        <v>5</v>
      </c>
      <c r="DD11" s="28">
        <v>79</v>
      </c>
      <c r="DE11" s="28">
        <v>82</v>
      </c>
      <c r="DF11" s="28">
        <v>88</v>
      </c>
      <c r="DG11" s="28">
        <v>82</v>
      </c>
      <c r="DH11" s="28">
        <v>87</v>
      </c>
      <c r="DI11" s="28">
        <v>90</v>
      </c>
      <c r="DJ11" s="28">
        <v>88</v>
      </c>
      <c r="DK11" s="28">
        <v>88</v>
      </c>
      <c r="DL11" s="28">
        <v>89</v>
      </c>
      <c r="DM11" s="26">
        <v>5</v>
      </c>
      <c r="DN11" s="29">
        <v>81</v>
      </c>
      <c r="DO11" s="29">
        <v>82</v>
      </c>
      <c r="DP11" s="29">
        <v>88</v>
      </c>
      <c r="DQ11" s="29">
        <v>83</v>
      </c>
      <c r="DR11" s="29">
        <v>88</v>
      </c>
      <c r="DS11" s="29">
        <v>91</v>
      </c>
      <c r="DT11" s="29">
        <v>88</v>
      </c>
      <c r="DU11" s="29">
        <v>90</v>
      </c>
      <c r="DV11" s="29">
        <v>89</v>
      </c>
      <c r="DW11" s="26">
        <v>5</v>
      </c>
      <c r="DX11" s="30">
        <v>83</v>
      </c>
      <c r="DY11" s="30">
        <v>85</v>
      </c>
      <c r="DZ11" s="30">
        <v>91</v>
      </c>
      <c r="EA11" s="30">
        <v>84</v>
      </c>
      <c r="EB11" s="30">
        <v>88</v>
      </c>
      <c r="EC11" s="30">
        <v>90</v>
      </c>
      <c r="ED11" s="30">
        <v>90</v>
      </c>
      <c r="EE11" s="30">
        <v>90</v>
      </c>
      <c r="EF11" s="30">
        <v>92</v>
      </c>
      <c r="EG11" s="26">
        <v>5</v>
      </c>
      <c r="EH11" s="31">
        <v>87</v>
      </c>
      <c r="EI11" s="31">
        <v>89</v>
      </c>
      <c r="EJ11" s="31">
        <v>92</v>
      </c>
      <c r="EK11" s="31">
        <v>84</v>
      </c>
      <c r="EL11" s="31">
        <v>90</v>
      </c>
      <c r="EM11" s="31">
        <v>91</v>
      </c>
      <c r="EN11" s="31">
        <v>91</v>
      </c>
      <c r="EO11" s="31">
        <v>91</v>
      </c>
      <c r="EP11" s="31">
        <v>93</v>
      </c>
      <c r="EQ11" s="26">
        <v>5</v>
      </c>
      <c r="ER11" s="27">
        <v>90</v>
      </c>
      <c r="ES11" s="27">
        <v>90</v>
      </c>
      <c r="ET11" s="27">
        <v>94</v>
      </c>
      <c r="EU11" s="27">
        <v>84</v>
      </c>
      <c r="EV11" s="27">
        <v>91</v>
      </c>
      <c r="EW11" s="27">
        <v>92</v>
      </c>
      <c r="EX11" s="27">
        <v>93</v>
      </c>
      <c r="EY11" s="27">
        <v>92</v>
      </c>
      <c r="EZ11" s="27">
        <v>95</v>
      </c>
    </row>
    <row r="12" spans="1:156" ht="12.75" customHeight="1">
      <c r="A12" s="2"/>
      <c r="B12" s="2"/>
      <c r="C12" s="2"/>
      <c r="D12" s="2"/>
      <c r="E12" s="2"/>
      <c r="F12" s="2"/>
      <c r="AA12" s="26">
        <v>6</v>
      </c>
      <c r="AB12" s="22">
        <v>95</v>
      </c>
      <c r="AC12" s="22">
        <v>94</v>
      </c>
      <c r="AD12" s="22">
        <v>100</v>
      </c>
      <c r="AE12" s="22">
        <v>94</v>
      </c>
      <c r="AF12" s="22">
        <v>100</v>
      </c>
      <c r="AG12" s="22">
        <v>101</v>
      </c>
      <c r="AH12" s="22">
        <v>95</v>
      </c>
      <c r="AI12" s="22">
        <v>95</v>
      </c>
      <c r="AJ12" s="22">
        <v>97</v>
      </c>
      <c r="AK12" s="26">
        <v>6</v>
      </c>
      <c r="AL12" s="27">
        <v>95</v>
      </c>
      <c r="AM12" s="27">
        <v>93</v>
      </c>
      <c r="AN12" s="27">
        <v>100</v>
      </c>
      <c r="AO12" s="27">
        <v>92</v>
      </c>
      <c r="AP12" s="27">
        <v>97</v>
      </c>
      <c r="AQ12" s="27">
        <v>100</v>
      </c>
      <c r="AR12" s="27">
        <v>94</v>
      </c>
      <c r="AS12" s="27">
        <v>94</v>
      </c>
      <c r="AT12" s="27">
        <v>97</v>
      </c>
      <c r="AU12" s="26">
        <v>6</v>
      </c>
      <c r="AV12" s="28">
        <v>93</v>
      </c>
      <c r="AW12" s="28">
        <v>91</v>
      </c>
      <c r="AX12" s="28">
        <v>97</v>
      </c>
      <c r="AY12" s="28">
        <v>93</v>
      </c>
      <c r="AZ12" s="28">
        <v>97</v>
      </c>
      <c r="BA12" s="28">
        <v>98</v>
      </c>
      <c r="BB12" s="28">
        <v>93</v>
      </c>
      <c r="BC12" s="28">
        <v>93</v>
      </c>
      <c r="BD12" s="28">
        <v>92</v>
      </c>
      <c r="BE12" s="26">
        <v>6</v>
      </c>
      <c r="BF12" s="29">
        <v>92</v>
      </c>
      <c r="BG12" s="29">
        <v>89</v>
      </c>
      <c r="BH12" s="29">
        <v>95</v>
      </c>
      <c r="BI12" s="29">
        <v>89</v>
      </c>
      <c r="BJ12" s="29">
        <v>95</v>
      </c>
      <c r="BK12" s="29">
        <v>95</v>
      </c>
      <c r="BL12" s="29">
        <v>92</v>
      </c>
      <c r="BM12" s="29">
        <v>94</v>
      </c>
      <c r="BN12" s="29">
        <v>90</v>
      </c>
      <c r="BO12" s="26">
        <v>6</v>
      </c>
      <c r="BP12" s="30">
        <v>90</v>
      </c>
      <c r="BQ12" s="30">
        <v>87</v>
      </c>
      <c r="BR12" s="30">
        <v>94</v>
      </c>
      <c r="BS12" s="30">
        <v>87</v>
      </c>
      <c r="BT12" s="30">
        <v>93</v>
      </c>
      <c r="BU12" s="30">
        <v>94</v>
      </c>
      <c r="BV12" s="30">
        <v>93</v>
      </c>
      <c r="BW12" s="30">
        <v>93</v>
      </c>
      <c r="BX12" s="30">
        <v>88</v>
      </c>
      <c r="BY12" s="26">
        <v>6</v>
      </c>
      <c r="BZ12" s="31">
        <v>89</v>
      </c>
      <c r="CA12" s="31">
        <v>85</v>
      </c>
      <c r="CB12" s="31">
        <v>91</v>
      </c>
      <c r="CC12" s="31">
        <v>85</v>
      </c>
      <c r="CD12" s="31">
        <v>92</v>
      </c>
      <c r="CE12" s="31">
        <v>93</v>
      </c>
      <c r="CF12" s="31">
        <v>90</v>
      </c>
      <c r="CG12" s="31">
        <v>92</v>
      </c>
      <c r="CH12" s="31">
        <v>88</v>
      </c>
      <c r="CI12" s="26">
        <v>6</v>
      </c>
      <c r="CJ12" s="22">
        <v>85</v>
      </c>
      <c r="CK12" s="22">
        <v>81</v>
      </c>
      <c r="CL12" s="22">
        <v>89</v>
      </c>
      <c r="CM12" s="22">
        <v>83</v>
      </c>
      <c r="CN12" s="22">
        <v>91</v>
      </c>
      <c r="CO12" s="22">
        <v>92</v>
      </c>
      <c r="CP12" s="22">
        <v>90</v>
      </c>
      <c r="CQ12" s="22">
        <v>91</v>
      </c>
      <c r="CR12" s="22">
        <v>86</v>
      </c>
      <c r="CS12" s="26">
        <v>6</v>
      </c>
      <c r="CT12" s="27">
        <v>83</v>
      </c>
      <c r="CU12" s="27">
        <v>83</v>
      </c>
      <c r="CV12" s="27">
        <v>90</v>
      </c>
      <c r="CW12" s="27">
        <v>83</v>
      </c>
      <c r="CX12" s="27">
        <v>91</v>
      </c>
      <c r="CY12" s="27">
        <v>93</v>
      </c>
      <c r="CZ12" s="27">
        <v>91</v>
      </c>
      <c r="DA12" s="27">
        <v>92</v>
      </c>
      <c r="DB12" s="27">
        <v>88</v>
      </c>
      <c r="DC12" s="26">
        <v>6</v>
      </c>
      <c r="DD12" s="28">
        <v>82</v>
      </c>
      <c r="DE12" s="28">
        <v>85</v>
      </c>
      <c r="DF12" s="28">
        <v>91</v>
      </c>
      <c r="DG12" s="28">
        <v>83</v>
      </c>
      <c r="DH12" s="28">
        <v>90</v>
      </c>
      <c r="DI12" s="28">
        <v>92</v>
      </c>
      <c r="DJ12" s="28">
        <v>90</v>
      </c>
      <c r="DK12" s="28">
        <v>91</v>
      </c>
      <c r="DL12" s="28">
        <v>91</v>
      </c>
      <c r="DM12" s="26">
        <v>6</v>
      </c>
      <c r="DN12" s="29">
        <v>82</v>
      </c>
      <c r="DO12" s="29">
        <v>85</v>
      </c>
      <c r="DP12" s="29">
        <v>90</v>
      </c>
      <c r="DQ12" s="29">
        <v>84</v>
      </c>
      <c r="DR12" s="29">
        <v>91</v>
      </c>
      <c r="DS12" s="29">
        <v>93</v>
      </c>
      <c r="DT12" s="29">
        <v>91</v>
      </c>
      <c r="DU12" s="29">
        <v>92</v>
      </c>
      <c r="DV12" s="29">
        <v>92</v>
      </c>
      <c r="DW12" s="26">
        <v>6</v>
      </c>
      <c r="DX12" s="30">
        <v>86</v>
      </c>
      <c r="DY12" s="30">
        <v>88</v>
      </c>
      <c r="DZ12" s="30">
        <v>93</v>
      </c>
      <c r="EA12" s="30">
        <v>85</v>
      </c>
      <c r="EB12" s="30">
        <v>91</v>
      </c>
      <c r="EC12" s="30">
        <v>92</v>
      </c>
      <c r="ED12" s="30">
        <v>93</v>
      </c>
      <c r="EE12" s="30">
        <v>93</v>
      </c>
      <c r="EF12" s="30">
        <v>94</v>
      </c>
      <c r="EG12" s="26">
        <v>6</v>
      </c>
      <c r="EH12" s="31">
        <v>90</v>
      </c>
      <c r="EI12" s="31">
        <v>92</v>
      </c>
      <c r="EJ12" s="31">
        <v>94</v>
      </c>
      <c r="EK12" s="31">
        <v>85</v>
      </c>
      <c r="EL12" s="31">
        <v>93</v>
      </c>
      <c r="EM12" s="31">
        <v>93</v>
      </c>
      <c r="EN12" s="31">
        <v>93</v>
      </c>
      <c r="EO12" s="31">
        <v>95</v>
      </c>
      <c r="EP12" s="31">
        <v>96</v>
      </c>
      <c r="EQ12" s="26">
        <v>6</v>
      </c>
      <c r="ER12" s="27">
        <v>93</v>
      </c>
      <c r="ES12" s="27">
        <v>94</v>
      </c>
      <c r="ET12" s="27">
        <v>96</v>
      </c>
      <c r="EU12" s="27">
        <v>85</v>
      </c>
      <c r="EV12" s="27">
        <v>94</v>
      </c>
      <c r="EW12" s="27">
        <v>94</v>
      </c>
      <c r="EX12" s="27">
        <v>96</v>
      </c>
      <c r="EY12" s="27">
        <v>95</v>
      </c>
      <c r="EZ12" s="27">
        <v>98</v>
      </c>
    </row>
    <row r="13" spans="1:156" ht="15" customHeight="1" thickBot="1">
      <c r="B13" s="15" t="s">
        <v>71</v>
      </c>
      <c r="C13" s="4"/>
      <c r="D13" s="4"/>
      <c r="E13" s="4"/>
      <c r="F13" s="4"/>
      <c r="AA13" s="26">
        <v>7</v>
      </c>
      <c r="AB13" s="22">
        <v>99</v>
      </c>
      <c r="AC13" s="22">
        <v>98</v>
      </c>
      <c r="AD13" s="22">
        <v>104</v>
      </c>
      <c r="AE13" s="22">
        <v>97</v>
      </c>
      <c r="AF13" s="22">
        <v>104</v>
      </c>
      <c r="AG13" s="22">
        <v>104</v>
      </c>
      <c r="AH13" s="22">
        <v>98</v>
      </c>
      <c r="AI13" s="22">
        <v>98</v>
      </c>
      <c r="AJ13" s="22">
        <v>100</v>
      </c>
      <c r="AK13" s="26">
        <v>7</v>
      </c>
      <c r="AL13" s="27">
        <v>98</v>
      </c>
      <c r="AM13" s="27">
        <v>97</v>
      </c>
      <c r="AN13" s="27">
        <v>103</v>
      </c>
      <c r="AO13" s="27">
        <v>95</v>
      </c>
      <c r="AP13" s="27">
        <v>101</v>
      </c>
      <c r="AQ13" s="27">
        <v>103</v>
      </c>
      <c r="AR13" s="27">
        <v>97</v>
      </c>
      <c r="AS13" s="27">
        <v>97</v>
      </c>
      <c r="AT13" s="27">
        <v>100</v>
      </c>
      <c r="AU13" s="26">
        <v>7</v>
      </c>
      <c r="AV13" s="28">
        <v>97</v>
      </c>
      <c r="AW13" s="28">
        <v>95</v>
      </c>
      <c r="AX13" s="28">
        <v>100</v>
      </c>
      <c r="AY13" s="28">
        <v>95</v>
      </c>
      <c r="AZ13" s="28">
        <v>100</v>
      </c>
      <c r="BA13" s="28">
        <v>101</v>
      </c>
      <c r="BB13" s="28">
        <v>96</v>
      </c>
      <c r="BC13" s="28">
        <v>97</v>
      </c>
      <c r="BD13" s="28">
        <v>95</v>
      </c>
      <c r="BE13" s="26">
        <v>7</v>
      </c>
      <c r="BF13" s="29">
        <v>95</v>
      </c>
      <c r="BG13" s="29">
        <v>93</v>
      </c>
      <c r="BH13" s="29">
        <v>97</v>
      </c>
      <c r="BI13" s="29">
        <v>91</v>
      </c>
      <c r="BJ13" s="29">
        <v>98</v>
      </c>
      <c r="BK13" s="29">
        <v>98</v>
      </c>
      <c r="BL13" s="29">
        <v>95</v>
      </c>
      <c r="BM13" s="29">
        <v>97</v>
      </c>
      <c r="BN13" s="29">
        <v>92</v>
      </c>
      <c r="BO13" s="26">
        <v>7</v>
      </c>
      <c r="BP13" s="30">
        <v>93</v>
      </c>
      <c r="BQ13" s="30">
        <v>91</v>
      </c>
      <c r="BR13" s="30">
        <v>96</v>
      </c>
      <c r="BS13" s="30">
        <v>89</v>
      </c>
      <c r="BT13" s="30">
        <v>96</v>
      </c>
      <c r="BU13" s="30">
        <v>96</v>
      </c>
      <c r="BV13" s="30">
        <v>95</v>
      </c>
      <c r="BW13" s="30">
        <v>96</v>
      </c>
      <c r="BX13" s="30">
        <v>91</v>
      </c>
      <c r="BY13" s="26">
        <v>7</v>
      </c>
      <c r="BZ13" s="31">
        <v>92</v>
      </c>
      <c r="CA13" s="31">
        <v>89</v>
      </c>
      <c r="CB13" s="31">
        <v>94</v>
      </c>
      <c r="CC13" s="31">
        <f>AVERAGE(CC12,CC14)</f>
        <v>87</v>
      </c>
      <c r="CD13" s="31">
        <v>95</v>
      </c>
      <c r="CE13" s="31">
        <v>95</v>
      </c>
      <c r="CF13" s="31">
        <v>93</v>
      </c>
      <c r="CG13" s="31">
        <v>94</v>
      </c>
      <c r="CH13" s="31">
        <v>90</v>
      </c>
      <c r="CI13" s="26">
        <v>7</v>
      </c>
      <c r="CJ13" s="22">
        <v>87</v>
      </c>
      <c r="CK13" s="22">
        <v>85</v>
      </c>
      <c r="CL13" s="22">
        <v>91</v>
      </c>
      <c r="CM13" s="22">
        <v>85</v>
      </c>
      <c r="CN13" s="22">
        <v>93</v>
      </c>
      <c r="CO13" s="22">
        <v>94</v>
      </c>
      <c r="CP13" s="22">
        <v>92</v>
      </c>
      <c r="CQ13" s="22">
        <v>94</v>
      </c>
      <c r="CR13" s="22">
        <v>89</v>
      </c>
      <c r="CS13" s="26">
        <v>7</v>
      </c>
      <c r="CT13" s="27">
        <v>86</v>
      </c>
      <c r="CU13" s="27">
        <v>87</v>
      </c>
      <c r="CV13" s="27">
        <v>92</v>
      </c>
      <c r="CW13" s="27">
        <v>85</v>
      </c>
      <c r="CX13" s="27">
        <v>94</v>
      </c>
      <c r="CY13" s="27">
        <v>95</v>
      </c>
      <c r="CZ13" s="27">
        <v>93</v>
      </c>
      <c r="DA13" s="27">
        <v>95</v>
      </c>
      <c r="DB13" s="27">
        <v>91</v>
      </c>
      <c r="DC13" s="26">
        <v>7</v>
      </c>
      <c r="DD13" s="28">
        <v>86</v>
      </c>
      <c r="DE13" s="28">
        <v>89</v>
      </c>
      <c r="DF13" s="28">
        <v>93</v>
      </c>
      <c r="DG13" s="28">
        <v>85</v>
      </c>
      <c r="DH13" s="28">
        <v>93</v>
      </c>
      <c r="DI13" s="28">
        <v>94</v>
      </c>
      <c r="DJ13" s="28">
        <v>93</v>
      </c>
      <c r="DK13" s="28">
        <v>94</v>
      </c>
      <c r="DL13" s="28">
        <v>93</v>
      </c>
      <c r="DM13" s="26">
        <v>7</v>
      </c>
      <c r="DN13" s="29">
        <v>86</v>
      </c>
      <c r="DO13" s="29">
        <v>89</v>
      </c>
      <c r="DP13" s="29">
        <v>93</v>
      </c>
      <c r="DQ13" s="29">
        <v>86</v>
      </c>
      <c r="DR13" s="29">
        <v>93</v>
      </c>
      <c r="DS13" s="29">
        <v>95</v>
      </c>
      <c r="DT13" s="29">
        <v>93</v>
      </c>
      <c r="DU13" s="29">
        <v>95</v>
      </c>
      <c r="DV13" s="29">
        <v>94</v>
      </c>
      <c r="DW13" s="26">
        <v>7</v>
      </c>
      <c r="DX13" s="30">
        <v>89</v>
      </c>
      <c r="DY13" s="30">
        <v>91</v>
      </c>
      <c r="DZ13" s="30">
        <v>95</v>
      </c>
      <c r="EA13" s="30">
        <v>86</v>
      </c>
      <c r="EB13" s="30">
        <v>94</v>
      </c>
      <c r="EC13" s="30">
        <v>95</v>
      </c>
      <c r="ED13" s="30">
        <v>95</v>
      </c>
      <c r="EE13" s="30">
        <v>96</v>
      </c>
      <c r="EF13" s="30">
        <v>97</v>
      </c>
      <c r="EG13" s="26">
        <v>7</v>
      </c>
      <c r="EH13" s="31">
        <v>92</v>
      </c>
      <c r="EI13" s="31">
        <v>95</v>
      </c>
      <c r="EJ13" s="31">
        <v>97</v>
      </c>
      <c r="EK13" s="31">
        <v>87</v>
      </c>
      <c r="EL13" s="31">
        <v>96</v>
      </c>
      <c r="EM13" s="31">
        <v>95</v>
      </c>
      <c r="EN13" s="31">
        <v>97</v>
      </c>
      <c r="EO13" s="31">
        <v>97</v>
      </c>
      <c r="EP13" s="31">
        <v>98</v>
      </c>
      <c r="EQ13" s="26">
        <v>7</v>
      </c>
      <c r="ER13" s="27">
        <v>96</v>
      </c>
      <c r="ES13" s="27">
        <v>97</v>
      </c>
      <c r="ET13" s="27">
        <v>98</v>
      </c>
      <c r="EU13" s="27">
        <v>87</v>
      </c>
      <c r="EV13" s="27">
        <v>97</v>
      </c>
      <c r="EW13" s="27">
        <v>97</v>
      </c>
      <c r="EX13" s="27">
        <v>98</v>
      </c>
      <c r="EY13" s="27">
        <v>98</v>
      </c>
      <c r="EZ13" s="27">
        <v>100</v>
      </c>
    </row>
    <row r="14" spans="1:156" ht="14.25" customHeight="1" thickBot="1">
      <c r="A14" s="188"/>
      <c r="B14" s="188"/>
      <c r="C14" s="188"/>
      <c r="D14" s="188"/>
      <c r="E14" s="188"/>
      <c r="F14" s="188"/>
      <c r="R14" s="174" t="s">
        <v>69</v>
      </c>
      <c r="S14" s="175"/>
      <c r="T14" s="175"/>
      <c r="U14" s="175"/>
      <c r="V14" s="175"/>
      <c r="W14" s="175"/>
      <c r="X14" s="175"/>
      <c r="Y14" s="176"/>
      <c r="AA14" s="26">
        <v>8</v>
      </c>
      <c r="AB14" s="22">
        <v>103</v>
      </c>
      <c r="AC14" s="22">
        <v>102</v>
      </c>
      <c r="AD14" s="22">
        <v>107</v>
      </c>
      <c r="AE14" s="22">
        <v>99</v>
      </c>
      <c r="AF14" s="22">
        <v>107</v>
      </c>
      <c r="AG14" s="22">
        <v>108</v>
      </c>
      <c r="AH14" s="22">
        <v>101</v>
      </c>
      <c r="AI14" s="22">
        <v>102</v>
      </c>
      <c r="AJ14" s="22">
        <v>103</v>
      </c>
      <c r="AK14" s="26">
        <v>8</v>
      </c>
      <c r="AL14" s="27">
        <v>102</v>
      </c>
      <c r="AM14" s="27">
        <v>100</v>
      </c>
      <c r="AN14" s="27">
        <v>106</v>
      </c>
      <c r="AO14" s="27">
        <v>97</v>
      </c>
      <c r="AP14" s="27">
        <v>105</v>
      </c>
      <c r="AQ14" s="27">
        <v>106</v>
      </c>
      <c r="AR14" s="27">
        <v>100</v>
      </c>
      <c r="AS14" s="27">
        <v>100</v>
      </c>
      <c r="AT14" s="27">
        <v>103</v>
      </c>
      <c r="AU14" s="26">
        <v>8</v>
      </c>
      <c r="AV14" s="28">
        <v>101</v>
      </c>
      <c r="AW14" s="28">
        <v>99</v>
      </c>
      <c r="AX14" s="28">
        <v>104</v>
      </c>
      <c r="AY14" s="28">
        <v>96</v>
      </c>
      <c r="AZ14" s="28">
        <v>103</v>
      </c>
      <c r="BA14" s="28">
        <v>103</v>
      </c>
      <c r="BB14" s="28">
        <v>99</v>
      </c>
      <c r="BC14" s="28">
        <v>100</v>
      </c>
      <c r="BD14" s="28">
        <v>97</v>
      </c>
      <c r="BE14" s="26">
        <v>8</v>
      </c>
      <c r="BF14" s="29">
        <v>98</v>
      </c>
      <c r="BG14" s="29">
        <v>97</v>
      </c>
      <c r="BH14" s="29">
        <v>100</v>
      </c>
      <c r="BI14" s="29">
        <v>92</v>
      </c>
      <c r="BJ14" s="29">
        <v>100</v>
      </c>
      <c r="BK14" s="29">
        <v>100</v>
      </c>
      <c r="BL14" s="29">
        <v>98</v>
      </c>
      <c r="BM14" s="29">
        <v>100</v>
      </c>
      <c r="BN14" s="29">
        <v>95</v>
      </c>
      <c r="BO14" s="26">
        <v>8</v>
      </c>
      <c r="BP14" s="30">
        <v>96</v>
      </c>
      <c r="BQ14" s="30">
        <v>95</v>
      </c>
      <c r="BR14" s="30">
        <v>99</v>
      </c>
      <c r="BS14" s="30">
        <v>90</v>
      </c>
      <c r="BT14" s="30">
        <v>99</v>
      </c>
      <c r="BU14" s="30">
        <v>99</v>
      </c>
      <c r="BV14" s="30">
        <v>97</v>
      </c>
      <c r="BW14" s="30">
        <v>99</v>
      </c>
      <c r="BX14" s="30">
        <v>93</v>
      </c>
      <c r="BY14" s="26">
        <v>8</v>
      </c>
      <c r="BZ14" s="31">
        <v>94</v>
      </c>
      <c r="CA14" s="31">
        <v>92</v>
      </c>
      <c r="CB14" s="31">
        <v>96</v>
      </c>
      <c r="CC14" s="31">
        <v>89</v>
      </c>
      <c r="CD14" s="31">
        <v>98</v>
      </c>
      <c r="CE14" s="31">
        <v>98</v>
      </c>
      <c r="CF14" s="31">
        <v>96</v>
      </c>
      <c r="CG14" s="31">
        <v>97</v>
      </c>
      <c r="CH14" s="31">
        <v>92</v>
      </c>
      <c r="CI14" s="26">
        <v>8</v>
      </c>
      <c r="CJ14" s="22">
        <v>90</v>
      </c>
      <c r="CK14" s="22">
        <v>89</v>
      </c>
      <c r="CL14" s="22">
        <v>93</v>
      </c>
      <c r="CM14" s="22">
        <v>86</v>
      </c>
      <c r="CN14" s="22">
        <v>97</v>
      </c>
      <c r="CO14" s="22">
        <v>96</v>
      </c>
      <c r="CP14" s="22">
        <v>95</v>
      </c>
      <c r="CQ14" s="22">
        <v>97</v>
      </c>
      <c r="CR14" s="22">
        <v>91</v>
      </c>
      <c r="CS14" s="26">
        <v>8</v>
      </c>
      <c r="CT14" s="27">
        <v>89</v>
      </c>
      <c r="CU14" s="27">
        <v>91</v>
      </c>
      <c r="CV14" s="27">
        <v>95</v>
      </c>
      <c r="CW14" s="27">
        <v>86</v>
      </c>
      <c r="CX14" s="27">
        <v>97</v>
      </c>
      <c r="CY14" s="27">
        <v>97</v>
      </c>
      <c r="CZ14" s="27">
        <v>96</v>
      </c>
      <c r="DA14" s="27">
        <v>97</v>
      </c>
      <c r="DB14" s="27">
        <v>93</v>
      </c>
      <c r="DC14" s="26">
        <v>8</v>
      </c>
      <c r="DD14" s="28">
        <v>89</v>
      </c>
      <c r="DE14" s="28">
        <v>92</v>
      </c>
      <c r="DF14" s="28">
        <v>95</v>
      </c>
      <c r="DG14" s="28">
        <v>87</v>
      </c>
      <c r="DH14" s="28">
        <v>96</v>
      </c>
      <c r="DI14" s="28">
        <v>97</v>
      </c>
      <c r="DJ14" s="28">
        <v>96</v>
      </c>
      <c r="DK14" s="28">
        <v>97</v>
      </c>
      <c r="DL14" s="28">
        <v>95</v>
      </c>
      <c r="DM14" s="26">
        <v>8</v>
      </c>
      <c r="DN14" s="29">
        <v>89</v>
      </c>
      <c r="DO14" s="29">
        <v>92</v>
      </c>
      <c r="DP14" s="29">
        <v>96</v>
      </c>
      <c r="DQ14" s="29">
        <v>87</v>
      </c>
      <c r="DR14" s="29">
        <v>96</v>
      </c>
      <c r="DS14" s="29">
        <v>97</v>
      </c>
      <c r="DT14" s="29">
        <v>95</v>
      </c>
      <c r="DU14" s="29">
        <v>98</v>
      </c>
      <c r="DV14" s="29">
        <v>97</v>
      </c>
      <c r="DW14" s="26">
        <v>8</v>
      </c>
      <c r="DX14" s="30">
        <v>92</v>
      </c>
      <c r="DY14" s="30">
        <v>94</v>
      </c>
      <c r="DZ14" s="30">
        <v>97</v>
      </c>
      <c r="EA14" s="30">
        <v>87</v>
      </c>
      <c r="EB14" s="30">
        <v>97</v>
      </c>
      <c r="EC14" s="30">
        <v>97</v>
      </c>
      <c r="ED14" s="30">
        <v>98</v>
      </c>
      <c r="EE14" s="30">
        <v>98</v>
      </c>
      <c r="EF14" s="30">
        <v>99</v>
      </c>
      <c r="EG14" s="26">
        <v>8</v>
      </c>
      <c r="EH14" s="31">
        <v>95</v>
      </c>
      <c r="EI14" s="31">
        <v>98</v>
      </c>
      <c r="EJ14" s="31">
        <v>99</v>
      </c>
      <c r="EK14" s="31">
        <v>88</v>
      </c>
      <c r="EL14" s="31">
        <v>98</v>
      </c>
      <c r="EM14" s="31">
        <v>98</v>
      </c>
      <c r="EN14" s="31">
        <v>99</v>
      </c>
      <c r="EO14" s="31">
        <v>100</v>
      </c>
      <c r="EP14" s="31">
        <v>100</v>
      </c>
      <c r="EQ14" s="26">
        <v>8</v>
      </c>
      <c r="ER14" s="27">
        <v>99</v>
      </c>
      <c r="ES14" s="27">
        <v>100</v>
      </c>
      <c r="ET14" s="27">
        <v>101</v>
      </c>
      <c r="EU14" s="27">
        <v>88</v>
      </c>
      <c r="EV14" s="27">
        <v>99</v>
      </c>
      <c r="EW14" s="27">
        <v>99</v>
      </c>
      <c r="EX14" s="27">
        <v>101</v>
      </c>
      <c r="EY14" s="27">
        <v>101</v>
      </c>
      <c r="EZ14" s="27">
        <v>102</v>
      </c>
    </row>
    <row r="15" spans="1:156" ht="13">
      <c r="B15" s="16" t="s">
        <v>4</v>
      </c>
      <c r="E15" s="16" t="s">
        <v>5</v>
      </c>
      <c r="H15" s="16" t="s">
        <v>7</v>
      </c>
      <c r="K15" s="16" t="s">
        <v>9</v>
      </c>
      <c r="N15" s="16" t="s">
        <v>12</v>
      </c>
      <c r="R15" s="44"/>
      <c r="S15" s="45"/>
      <c r="T15" s="45"/>
      <c r="U15" s="45"/>
      <c r="V15" s="45"/>
      <c r="W15" s="45"/>
      <c r="X15" s="45"/>
      <c r="Y15" s="46"/>
      <c r="AA15" s="26">
        <v>9</v>
      </c>
      <c r="AB15" s="22">
        <v>107</v>
      </c>
      <c r="AC15" s="22">
        <v>106</v>
      </c>
      <c r="AD15" s="22">
        <v>111</v>
      </c>
      <c r="AE15" s="22">
        <v>102</v>
      </c>
      <c r="AF15" s="22">
        <v>111</v>
      </c>
      <c r="AG15" s="22">
        <v>111</v>
      </c>
      <c r="AH15" s="22">
        <v>105</v>
      </c>
      <c r="AI15" s="22">
        <v>105</v>
      </c>
      <c r="AJ15" s="22">
        <v>107</v>
      </c>
      <c r="AK15" s="26">
        <v>9</v>
      </c>
      <c r="AL15" s="27">
        <v>106</v>
      </c>
      <c r="AM15" s="27">
        <v>104</v>
      </c>
      <c r="AN15" s="27">
        <v>110</v>
      </c>
      <c r="AO15" s="27">
        <v>100</v>
      </c>
      <c r="AP15" s="27">
        <v>109</v>
      </c>
      <c r="AQ15" s="27">
        <v>109</v>
      </c>
      <c r="AR15" s="27">
        <v>104</v>
      </c>
      <c r="AS15" s="27">
        <v>104</v>
      </c>
      <c r="AT15" s="27">
        <v>106</v>
      </c>
      <c r="AU15" s="26">
        <v>9</v>
      </c>
      <c r="AV15" s="28">
        <v>104</v>
      </c>
      <c r="AW15" s="28">
        <v>102</v>
      </c>
      <c r="AX15" s="28">
        <v>107</v>
      </c>
      <c r="AY15" s="28">
        <v>98</v>
      </c>
      <c r="AZ15" s="28">
        <v>106</v>
      </c>
      <c r="BA15" s="28">
        <v>106</v>
      </c>
      <c r="BB15" s="28">
        <v>102</v>
      </c>
      <c r="BC15" s="28">
        <v>103</v>
      </c>
      <c r="BD15" s="28">
        <v>100</v>
      </c>
      <c r="BE15" s="26">
        <v>9</v>
      </c>
      <c r="BF15" s="29">
        <v>101</v>
      </c>
      <c r="BG15" s="29">
        <v>100</v>
      </c>
      <c r="BH15" s="29">
        <v>103</v>
      </c>
      <c r="BI15" s="29">
        <v>94</v>
      </c>
      <c r="BJ15" s="29">
        <v>104</v>
      </c>
      <c r="BK15" s="29">
        <v>103</v>
      </c>
      <c r="BL15" s="29">
        <v>100</v>
      </c>
      <c r="BM15" s="29">
        <v>102</v>
      </c>
      <c r="BN15" s="29">
        <v>97</v>
      </c>
      <c r="BO15" s="26">
        <v>9</v>
      </c>
      <c r="BP15" s="30">
        <v>99</v>
      </c>
      <c r="BQ15" s="30">
        <v>98</v>
      </c>
      <c r="BR15" s="30">
        <v>101</v>
      </c>
      <c r="BS15" s="30">
        <v>92</v>
      </c>
      <c r="BT15" s="30">
        <v>102</v>
      </c>
      <c r="BU15" s="30">
        <v>101</v>
      </c>
      <c r="BV15" s="30">
        <v>100</v>
      </c>
      <c r="BW15" s="30">
        <v>102</v>
      </c>
      <c r="BX15" s="30">
        <v>96</v>
      </c>
      <c r="BY15" s="26">
        <v>9</v>
      </c>
      <c r="BZ15" s="31">
        <v>97</v>
      </c>
      <c r="CA15" s="31">
        <v>96</v>
      </c>
      <c r="CB15" s="31">
        <v>99</v>
      </c>
      <c r="CC15" s="31">
        <f>AVERAGE(CC14,CC16)</f>
        <v>91</v>
      </c>
      <c r="CD15" s="31">
        <v>101</v>
      </c>
      <c r="CE15" s="31">
        <v>100</v>
      </c>
      <c r="CF15" s="31">
        <v>99</v>
      </c>
      <c r="CG15" s="31">
        <v>100</v>
      </c>
      <c r="CH15" s="31">
        <v>95</v>
      </c>
      <c r="CI15" s="26">
        <v>9</v>
      </c>
      <c r="CJ15" s="22">
        <v>93</v>
      </c>
      <c r="CK15" s="22">
        <v>93</v>
      </c>
      <c r="CL15" s="22">
        <v>97</v>
      </c>
      <c r="CM15" s="22">
        <v>88</v>
      </c>
      <c r="CN15" s="22">
        <v>100</v>
      </c>
      <c r="CO15" s="22">
        <v>99</v>
      </c>
      <c r="CP15" s="22">
        <v>98</v>
      </c>
      <c r="CQ15" s="22">
        <v>100</v>
      </c>
      <c r="CR15" s="22">
        <v>93</v>
      </c>
      <c r="CS15" s="26">
        <v>9</v>
      </c>
      <c r="CT15" s="27">
        <v>92</v>
      </c>
      <c r="CU15" s="27">
        <v>95</v>
      </c>
      <c r="CV15" s="27">
        <v>97</v>
      </c>
      <c r="CW15" s="27">
        <v>88</v>
      </c>
      <c r="CX15" s="27">
        <v>99</v>
      </c>
      <c r="CY15" s="27">
        <v>99</v>
      </c>
      <c r="CZ15" s="27">
        <v>98</v>
      </c>
      <c r="DA15" s="27">
        <v>100</v>
      </c>
      <c r="DB15" s="27">
        <v>95</v>
      </c>
      <c r="DC15" s="26">
        <v>9</v>
      </c>
      <c r="DD15" s="28">
        <v>92</v>
      </c>
      <c r="DE15" s="28">
        <v>95</v>
      </c>
      <c r="DF15" s="28">
        <v>98</v>
      </c>
      <c r="DG15" s="28">
        <v>89</v>
      </c>
      <c r="DH15" s="28">
        <v>98</v>
      </c>
      <c r="DI15" s="28">
        <v>99</v>
      </c>
      <c r="DJ15" s="28">
        <v>99</v>
      </c>
      <c r="DK15" s="28">
        <v>100</v>
      </c>
      <c r="DL15" s="28">
        <v>98</v>
      </c>
      <c r="DM15" s="26">
        <v>9</v>
      </c>
      <c r="DN15" s="29">
        <v>92</v>
      </c>
      <c r="DO15" s="29">
        <v>96</v>
      </c>
      <c r="DP15" s="29">
        <v>98</v>
      </c>
      <c r="DQ15" s="29">
        <v>89</v>
      </c>
      <c r="DR15" s="29">
        <v>99</v>
      </c>
      <c r="DS15" s="29">
        <v>100</v>
      </c>
      <c r="DT15" s="29">
        <v>99</v>
      </c>
      <c r="DU15" s="29">
        <v>101</v>
      </c>
      <c r="DV15" s="29">
        <v>99</v>
      </c>
      <c r="DW15" s="26">
        <v>9</v>
      </c>
      <c r="DX15" s="30">
        <v>95</v>
      </c>
      <c r="DY15" s="30">
        <v>97</v>
      </c>
      <c r="DZ15" s="30">
        <v>100</v>
      </c>
      <c r="EA15" s="30">
        <v>89</v>
      </c>
      <c r="EB15" s="30">
        <v>99</v>
      </c>
      <c r="EC15" s="30">
        <v>99</v>
      </c>
      <c r="ED15" s="30">
        <v>101</v>
      </c>
      <c r="EE15" s="30">
        <v>101</v>
      </c>
      <c r="EF15" s="30">
        <v>101</v>
      </c>
      <c r="EG15" s="26">
        <v>9</v>
      </c>
      <c r="EH15" s="31">
        <v>98</v>
      </c>
      <c r="EI15" s="31">
        <v>101</v>
      </c>
      <c r="EJ15" s="31">
        <v>101</v>
      </c>
      <c r="EK15" s="31">
        <v>90</v>
      </c>
      <c r="EL15" s="31">
        <v>101</v>
      </c>
      <c r="EM15" s="31">
        <v>100</v>
      </c>
      <c r="EN15" s="31">
        <v>102</v>
      </c>
      <c r="EO15" s="31">
        <v>103</v>
      </c>
      <c r="EP15" s="31">
        <v>102</v>
      </c>
      <c r="EQ15" s="26">
        <v>9</v>
      </c>
      <c r="ER15" s="27">
        <v>102</v>
      </c>
      <c r="ES15" s="27">
        <v>103</v>
      </c>
      <c r="ET15" s="27">
        <v>103</v>
      </c>
      <c r="EU15" s="27">
        <v>90</v>
      </c>
      <c r="EV15" s="27">
        <v>102</v>
      </c>
      <c r="EW15" s="27">
        <v>101</v>
      </c>
      <c r="EX15" s="27">
        <v>104</v>
      </c>
      <c r="EY15" s="27">
        <v>103</v>
      </c>
      <c r="EZ15" s="27">
        <v>105</v>
      </c>
    </row>
    <row r="16" spans="1:156" ht="18">
      <c r="B16" s="134" t="s">
        <v>23</v>
      </c>
      <c r="C16" s="140" t="s">
        <v>72</v>
      </c>
      <c r="E16" s="134" t="s">
        <v>23</v>
      </c>
      <c r="F16" s="140" t="s">
        <v>72</v>
      </c>
      <c r="H16" s="134" t="s">
        <v>23</v>
      </c>
      <c r="I16" s="140" t="s">
        <v>72</v>
      </c>
      <c r="K16" s="134" t="s">
        <v>23</v>
      </c>
      <c r="L16" s="140" t="s">
        <v>72</v>
      </c>
      <c r="N16" s="132" t="s">
        <v>23</v>
      </c>
      <c r="O16" s="138" t="s">
        <v>72</v>
      </c>
      <c r="R16" s="44"/>
      <c r="S16" s="54" t="s">
        <v>70</v>
      </c>
      <c r="T16" s="45"/>
      <c r="U16" s="45"/>
      <c r="V16" s="45"/>
      <c r="W16" s="45"/>
      <c r="X16" s="45"/>
      <c r="Y16" s="46"/>
      <c r="AA16" s="26">
        <v>10</v>
      </c>
      <c r="AB16" s="22">
        <v>110</v>
      </c>
      <c r="AC16" s="22">
        <v>110</v>
      </c>
      <c r="AD16" s="22">
        <v>115</v>
      </c>
      <c r="AE16" s="22">
        <v>104</v>
      </c>
      <c r="AF16" s="22">
        <v>115</v>
      </c>
      <c r="AG16" s="22">
        <v>114</v>
      </c>
      <c r="AH16" s="22">
        <v>108</v>
      </c>
      <c r="AI16" s="22">
        <v>109</v>
      </c>
      <c r="AJ16" s="22">
        <v>110</v>
      </c>
      <c r="AK16" s="26">
        <v>10</v>
      </c>
      <c r="AL16" s="27">
        <v>110</v>
      </c>
      <c r="AM16" s="27">
        <v>108</v>
      </c>
      <c r="AN16" s="27">
        <v>113</v>
      </c>
      <c r="AO16" s="27">
        <v>102</v>
      </c>
      <c r="AP16" s="27">
        <v>112</v>
      </c>
      <c r="AQ16" s="27">
        <v>112</v>
      </c>
      <c r="AR16" s="27">
        <v>107</v>
      </c>
      <c r="AS16" s="27">
        <v>108</v>
      </c>
      <c r="AT16" s="27">
        <v>110</v>
      </c>
      <c r="AU16" s="26">
        <v>10</v>
      </c>
      <c r="AV16" s="28">
        <v>107</v>
      </c>
      <c r="AW16" s="28">
        <v>106</v>
      </c>
      <c r="AX16" s="28">
        <v>110</v>
      </c>
      <c r="AY16" s="28">
        <v>100</v>
      </c>
      <c r="AZ16" s="28">
        <v>109</v>
      </c>
      <c r="BA16" s="28">
        <v>109</v>
      </c>
      <c r="BB16" s="28">
        <v>104</v>
      </c>
      <c r="BC16" s="28">
        <v>106</v>
      </c>
      <c r="BD16" s="28">
        <v>103</v>
      </c>
      <c r="BE16" s="26">
        <v>10</v>
      </c>
      <c r="BF16" s="29">
        <v>104</v>
      </c>
      <c r="BG16" s="29">
        <v>104</v>
      </c>
      <c r="BH16" s="29">
        <v>106</v>
      </c>
      <c r="BI16" s="29">
        <v>95</v>
      </c>
      <c r="BJ16" s="29">
        <v>107</v>
      </c>
      <c r="BK16" s="29">
        <v>105</v>
      </c>
      <c r="BL16" s="29">
        <v>103</v>
      </c>
      <c r="BM16" s="29">
        <v>105</v>
      </c>
      <c r="BN16" s="29">
        <v>100</v>
      </c>
      <c r="BO16" s="26">
        <v>10</v>
      </c>
      <c r="BP16" s="30">
        <v>102</v>
      </c>
      <c r="BQ16" s="30">
        <v>102</v>
      </c>
      <c r="BR16" s="30">
        <v>104</v>
      </c>
      <c r="BS16" s="30">
        <v>93</v>
      </c>
      <c r="BT16" s="30">
        <v>105</v>
      </c>
      <c r="BU16" s="30">
        <v>104</v>
      </c>
      <c r="BV16" s="30">
        <v>103</v>
      </c>
      <c r="BW16" s="30">
        <v>105</v>
      </c>
      <c r="BX16" s="30">
        <v>98</v>
      </c>
      <c r="BY16" s="26">
        <v>10</v>
      </c>
      <c r="BZ16" s="31">
        <v>100</v>
      </c>
      <c r="CA16" s="31">
        <v>100</v>
      </c>
      <c r="CB16" s="31">
        <v>101</v>
      </c>
      <c r="CC16" s="31">
        <v>93</v>
      </c>
      <c r="CD16" s="31">
        <v>104</v>
      </c>
      <c r="CE16" s="31">
        <v>102</v>
      </c>
      <c r="CF16" s="31">
        <v>101</v>
      </c>
      <c r="CG16" s="31">
        <v>103</v>
      </c>
      <c r="CH16" s="31">
        <v>97</v>
      </c>
      <c r="CI16" s="26">
        <v>10</v>
      </c>
      <c r="CJ16" s="22">
        <v>96</v>
      </c>
      <c r="CK16" s="22">
        <v>97</v>
      </c>
      <c r="CL16" s="22">
        <v>99</v>
      </c>
      <c r="CM16" s="22">
        <v>89</v>
      </c>
      <c r="CN16" s="22">
        <v>103</v>
      </c>
      <c r="CO16" s="22">
        <v>101</v>
      </c>
      <c r="CP16" s="22">
        <v>100</v>
      </c>
      <c r="CQ16" s="22">
        <v>103</v>
      </c>
      <c r="CR16" s="22">
        <v>96</v>
      </c>
      <c r="CS16" s="26">
        <v>10</v>
      </c>
      <c r="CT16" s="27">
        <v>95</v>
      </c>
      <c r="CU16" s="27">
        <v>98</v>
      </c>
      <c r="CV16" s="27">
        <v>100</v>
      </c>
      <c r="CW16" s="27">
        <v>89</v>
      </c>
      <c r="CX16" s="27">
        <v>102</v>
      </c>
      <c r="CY16" s="27">
        <v>102</v>
      </c>
      <c r="CZ16" s="27">
        <v>101</v>
      </c>
      <c r="DA16" s="27">
        <v>103</v>
      </c>
      <c r="DB16" s="27">
        <v>98</v>
      </c>
      <c r="DC16" s="26">
        <v>10</v>
      </c>
      <c r="DD16" s="28">
        <v>95</v>
      </c>
      <c r="DE16" s="28">
        <v>99</v>
      </c>
      <c r="DF16" s="28">
        <v>100</v>
      </c>
      <c r="DG16" s="28">
        <v>90</v>
      </c>
      <c r="DH16" s="28">
        <v>101</v>
      </c>
      <c r="DI16" s="28">
        <v>101</v>
      </c>
      <c r="DJ16" s="28">
        <v>101</v>
      </c>
      <c r="DK16" s="28">
        <v>103</v>
      </c>
      <c r="DL16" s="28">
        <v>100</v>
      </c>
      <c r="DM16" s="26">
        <v>10</v>
      </c>
      <c r="DN16" s="29">
        <v>93</v>
      </c>
      <c r="DO16" s="29">
        <v>100</v>
      </c>
      <c r="DP16" s="29">
        <v>100</v>
      </c>
      <c r="DQ16" s="29">
        <v>90</v>
      </c>
      <c r="DR16" s="29">
        <v>102</v>
      </c>
      <c r="DS16" s="29">
        <v>102</v>
      </c>
      <c r="DT16" s="29">
        <v>101</v>
      </c>
      <c r="DU16" s="29">
        <v>104</v>
      </c>
      <c r="DV16" s="29">
        <v>101</v>
      </c>
      <c r="DW16" s="26">
        <v>10</v>
      </c>
      <c r="DX16" s="30">
        <v>98</v>
      </c>
      <c r="DY16" s="30">
        <v>101</v>
      </c>
      <c r="DZ16" s="30">
        <v>102</v>
      </c>
      <c r="EA16" s="30">
        <v>90</v>
      </c>
      <c r="EB16" s="30">
        <v>102</v>
      </c>
      <c r="EC16" s="30">
        <v>102</v>
      </c>
      <c r="ED16" s="30">
        <v>103</v>
      </c>
      <c r="EE16" s="30">
        <v>104</v>
      </c>
      <c r="EF16" s="30">
        <v>103</v>
      </c>
      <c r="EG16" s="26">
        <v>10</v>
      </c>
      <c r="EH16" s="31">
        <v>101</v>
      </c>
      <c r="EI16" s="31">
        <v>104</v>
      </c>
      <c r="EJ16" s="31">
        <v>103</v>
      </c>
      <c r="EK16" s="31">
        <v>91</v>
      </c>
      <c r="EL16" s="31">
        <v>104</v>
      </c>
      <c r="EM16" s="31">
        <v>102</v>
      </c>
      <c r="EN16" s="31">
        <v>104</v>
      </c>
      <c r="EO16" s="31">
        <v>105</v>
      </c>
      <c r="EP16" s="31">
        <v>104</v>
      </c>
      <c r="EQ16" s="26">
        <v>10</v>
      </c>
      <c r="ER16" s="27">
        <v>104</v>
      </c>
      <c r="ES16" s="27">
        <v>106</v>
      </c>
      <c r="ET16" s="27">
        <v>105</v>
      </c>
      <c r="EU16" s="27">
        <v>91</v>
      </c>
      <c r="EV16" s="27">
        <v>104</v>
      </c>
      <c r="EW16" s="27">
        <v>103</v>
      </c>
      <c r="EX16" s="27">
        <v>106</v>
      </c>
      <c r="EY16" s="27">
        <v>106</v>
      </c>
      <c r="EZ16" s="27">
        <v>107</v>
      </c>
    </row>
    <row r="17" spans="2:156">
      <c r="B17" s="134"/>
      <c r="C17" s="140"/>
      <c r="E17" s="134"/>
      <c r="F17" s="140"/>
      <c r="H17" s="134"/>
      <c r="I17" s="140"/>
      <c r="K17" s="134"/>
      <c r="L17" s="140"/>
      <c r="N17" s="133"/>
      <c r="O17" s="139"/>
      <c r="R17" s="44"/>
      <c r="S17" s="45"/>
      <c r="T17" s="45"/>
      <c r="U17" s="45"/>
      <c r="V17" s="45"/>
      <c r="W17" s="45"/>
      <c r="X17" s="45"/>
      <c r="Y17" s="46"/>
      <c r="AA17" s="26">
        <v>11</v>
      </c>
      <c r="AB17" s="22">
        <v>115</v>
      </c>
      <c r="AC17" s="22">
        <v>114</v>
      </c>
      <c r="AD17" s="22">
        <v>119</v>
      </c>
      <c r="AE17" s="22">
        <v>107</v>
      </c>
      <c r="AF17" s="22">
        <v>119</v>
      </c>
      <c r="AG17" s="22">
        <v>117</v>
      </c>
      <c r="AH17" s="22">
        <v>112</v>
      </c>
      <c r="AI17" s="22">
        <v>112</v>
      </c>
      <c r="AJ17" s="22">
        <v>113</v>
      </c>
      <c r="AK17" s="26">
        <v>11</v>
      </c>
      <c r="AL17" s="27">
        <v>114</v>
      </c>
      <c r="AM17" s="27">
        <v>112</v>
      </c>
      <c r="AN17" s="27">
        <v>117</v>
      </c>
      <c r="AO17" s="27">
        <v>105</v>
      </c>
      <c r="AP17" s="27">
        <v>116</v>
      </c>
      <c r="AQ17" s="27">
        <v>115</v>
      </c>
      <c r="AR17" s="27">
        <v>110</v>
      </c>
      <c r="AS17" s="27">
        <v>111</v>
      </c>
      <c r="AT17" s="27">
        <v>112</v>
      </c>
      <c r="AU17" s="26">
        <v>11</v>
      </c>
      <c r="AV17" s="28">
        <v>111</v>
      </c>
      <c r="AW17" s="28">
        <v>109</v>
      </c>
      <c r="AX17" s="28">
        <v>113</v>
      </c>
      <c r="AY17" s="28">
        <v>102</v>
      </c>
      <c r="AZ17" s="28">
        <v>112</v>
      </c>
      <c r="BA17" s="28">
        <v>112</v>
      </c>
      <c r="BB17" s="28">
        <v>107</v>
      </c>
      <c r="BC17" s="28">
        <v>110</v>
      </c>
      <c r="BD17" s="28">
        <v>105</v>
      </c>
      <c r="BE17" s="26">
        <v>11</v>
      </c>
      <c r="BF17" s="29">
        <v>107</v>
      </c>
      <c r="BG17" s="29">
        <v>107</v>
      </c>
      <c r="BH17" s="29">
        <v>109</v>
      </c>
      <c r="BI17" s="29">
        <v>97</v>
      </c>
      <c r="BJ17" s="29">
        <v>110</v>
      </c>
      <c r="BK17" s="29">
        <v>108</v>
      </c>
      <c r="BL17" s="29">
        <v>106</v>
      </c>
      <c r="BM17" s="29">
        <v>108</v>
      </c>
      <c r="BN17" s="29">
        <v>102</v>
      </c>
      <c r="BO17" s="26">
        <v>11</v>
      </c>
      <c r="BP17" s="30">
        <v>105</v>
      </c>
      <c r="BQ17" s="30">
        <v>106</v>
      </c>
      <c r="BR17" s="30">
        <v>106</v>
      </c>
      <c r="BS17" s="30">
        <v>95</v>
      </c>
      <c r="BT17" s="30">
        <v>108</v>
      </c>
      <c r="BU17" s="30">
        <v>106</v>
      </c>
      <c r="BV17" s="30">
        <v>105</v>
      </c>
      <c r="BW17" s="30">
        <v>107</v>
      </c>
      <c r="BX17" s="30">
        <v>101</v>
      </c>
      <c r="BY17" s="26">
        <v>11</v>
      </c>
      <c r="BZ17" s="31">
        <v>103</v>
      </c>
      <c r="CA17" s="31">
        <v>104</v>
      </c>
      <c r="CB17" s="31">
        <v>104</v>
      </c>
      <c r="CC17" s="31">
        <f>AVERAGE(CC16,CC18)</f>
        <v>94</v>
      </c>
      <c r="CD17" s="31">
        <v>107</v>
      </c>
      <c r="CE17" s="31">
        <v>105</v>
      </c>
      <c r="CF17" s="31">
        <v>104</v>
      </c>
      <c r="CG17" s="31">
        <v>106</v>
      </c>
      <c r="CH17" s="31">
        <v>99</v>
      </c>
      <c r="CI17" s="26">
        <v>11</v>
      </c>
      <c r="CJ17" s="22">
        <v>99</v>
      </c>
      <c r="CK17" s="22">
        <v>101</v>
      </c>
      <c r="CL17" s="22">
        <v>102</v>
      </c>
      <c r="CM17" s="22">
        <v>91</v>
      </c>
      <c r="CN17" s="22">
        <v>106</v>
      </c>
      <c r="CO17" s="22">
        <v>104</v>
      </c>
      <c r="CP17" s="22">
        <v>103</v>
      </c>
      <c r="CQ17" s="22">
        <v>106</v>
      </c>
      <c r="CR17" s="22">
        <v>98</v>
      </c>
      <c r="CS17" s="26">
        <v>11</v>
      </c>
      <c r="CT17" s="27">
        <v>98</v>
      </c>
      <c r="CU17" s="27">
        <v>102</v>
      </c>
      <c r="CV17" s="27">
        <v>102</v>
      </c>
      <c r="CW17" s="27">
        <v>91</v>
      </c>
      <c r="CX17" s="27">
        <v>105</v>
      </c>
      <c r="CY17" s="27">
        <v>104</v>
      </c>
      <c r="CZ17" s="27">
        <v>103</v>
      </c>
      <c r="DA17" s="27">
        <v>106</v>
      </c>
      <c r="DB17" s="27">
        <v>100</v>
      </c>
      <c r="DC17" s="26">
        <v>11</v>
      </c>
      <c r="DD17" s="28">
        <v>98</v>
      </c>
      <c r="DE17" s="28">
        <v>102</v>
      </c>
      <c r="DF17" s="28">
        <v>102</v>
      </c>
      <c r="DG17" s="28">
        <v>91</v>
      </c>
      <c r="DH17" s="28">
        <v>104</v>
      </c>
      <c r="DI17" s="28">
        <v>104</v>
      </c>
      <c r="DJ17" s="28">
        <v>104</v>
      </c>
      <c r="DK17" s="28">
        <v>106</v>
      </c>
      <c r="DL17" s="28">
        <v>102</v>
      </c>
      <c r="DM17" s="26">
        <v>11</v>
      </c>
      <c r="DN17" s="29">
        <v>98</v>
      </c>
      <c r="DO17" s="29">
        <v>103</v>
      </c>
      <c r="DP17" s="29">
        <v>102</v>
      </c>
      <c r="DQ17" s="29">
        <v>92</v>
      </c>
      <c r="DR17" s="29">
        <v>104</v>
      </c>
      <c r="DS17" s="29">
        <v>104</v>
      </c>
      <c r="DT17" s="29">
        <v>103</v>
      </c>
      <c r="DU17" s="29">
        <v>106</v>
      </c>
      <c r="DV17" s="29">
        <v>103</v>
      </c>
      <c r="DW17" s="26">
        <v>11</v>
      </c>
      <c r="DX17" s="30">
        <v>101</v>
      </c>
      <c r="DY17" s="30">
        <v>104</v>
      </c>
      <c r="DZ17" s="30">
        <v>104</v>
      </c>
      <c r="EA17" s="30">
        <v>92</v>
      </c>
      <c r="EB17" s="30">
        <v>105</v>
      </c>
      <c r="EC17" s="30">
        <v>104</v>
      </c>
      <c r="ED17" s="30">
        <v>105</v>
      </c>
      <c r="EE17" s="30">
        <v>106</v>
      </c>
      <c r="EF17" s="30">
        <v>106</v>
      </c>
      <c r="EG17" s="26">
        <v>11</v>
      </c>
      <c r="EH17" s="31">
        <v>104</v>
      </c>
      <c r="EI17" s="31">
        <v>108</v>
      </c>
      <c r="EJ17" s="31">
        <v>106</v>
      </c>
      <c r="EK17" s="31">
        <v>93</v>
      </c>
      <c r="EL17" s="31">
        <v>106</v>
      </c>
      <c r="EM17" s="31">
        <v>104</v>
      </c>
      <c r="EN17" s="31">
        <v>107</v>
      </c>
      <c r="EO17" s="31">
        <v>108</v>
      </c>
      <c r="EP17" s="31">
        <v>107</v>
      </c>
      <c r="EQ17" s="26">
        <v>11</v>
      </c>
      <c r="ER17" s="27">
        <v>107</v>
      </c>
      <c r="ES17" s="27">
        <v>110</v>
      </c>
      <c r="ET17" s="27">
        <v>107</v>
      </c>
      <c r="EU17" s="27">
        <v>93</v>
      </c>
      <c r="EV17" s="27">
        <v>107</v>
      </c>
      <c r="EW17" s="27">
        <v>105</v>
      </c>
      <c r="EX17" s="27">
        <v>109</v>
      </c>
      <c r="EY17" s="27">
        <v>109</v>
      </c>
      <c r="EZ17" s="27">
        <v>109</v>
      </c>
    </row>
    <row r="18" spans="2:156" ht="12.75" customHeight="1">
      <c r="B18" s="66">
        <v>1</v>
      </c>
      <c r="C18" s="125"/>
      <c r="E18" s="66">
        <v>21</v>
      </c>
      <c r="F18" s="125"/>
      <c r="H18" s="66">
        <v>41</v>
      </c>
      <c r="I18" s="125"/>
      <c r="K18" s="66">
        <v>61</v>
      </c>
      <c r="L18" s="8" t="s">
        <v>310</v>
      </c>
      <c r="N18" s="66">
        <v>77</v>
      </c>
      <c r="O18" s="125"/>
      <c r="R18" s="44"/>
      <c r="S18" s="55" t="s">
        <v>0</v>
      </c>
      <c r="T18" s="56" t="s">
        <v>1</v>
      </c>
      <c r="U18" s="177">
        <f t="shared" ref="U18:U23" si="0">IF(D4&gt;0,D4,"")</f>
        <v>1</v>
      </c>
      <c r="V18" s="177"/>
      <c r="W18" s="177"/>
      <c r="X18" s="177"/>
      <c r="Y18" s="46"/>
      <c r="AA18" s="26">
        <v>12</v>
      </c>
      <c r="AB18" s="22">
        <v>119</v>
      </c>
      <c r="AC18" s="22">
        <v>117</v>
      </c>
      <c r="AD18" s="22">
        <v>122</v>
      </c>
      <c r="AE18" s="22">
        <v>109</v>
      </c>
      <c r="AF18" s="22">
        <v>122</v>
      </c>
      <c r="AG18" s="22">
        <v>120</v>
      </c>
      <c r="AH18" s="22">
        <v>115</v>
      </c>
      <c r="AI18" s="22">
        <v>116</v>
      </c>
      <c r="AJ18" s="22">
        <v>116</v>
      </c>
      <c r="AK18" s="26">
        <v>12</v>
      </c>
      <c r="AL18" s="27">
        <v>118</v>
      </c>
      <c r="AM18" s="27">
        <v>115</v>
      </c>
      <c r="AN18" s="27">
        <v>120</v>
      </c>
      <c r="AO18" s="27">
        <v>107</v>
      </c>
      <c r="AP18" s="27">
        <v>119</v>
      </c>
      <c r="AQ18" s="27">
        <v>118</v>
      </c>
      <c r="AR18" s="27">
        <v>113</v>
      </c>
      <c r="AS18" s="27">
        <v>115</v>
      </c>
      <c r="AT18" s="27">
        <v>115</v>
      </c>
      <c r="AU18" s="26">
        <v>12</v>
      </c>
      <c r="AV18" s="28">
        <v>114</v>
      </c>
      <c r="AW18" s="28">
        <v>113</v>
      </c>
      <c r="AX18" s="28">
        <v>116</v>
      </c>
      <c r="AY18" s="28">
        <v>104</v>
      </c>
      <c r="AZ18" s="28">
        <v>115</v>
      </c>
      <c r="BA18" s="28">
        <v>114</v>
      </c>
      <c r="BB18" s="28">
        <v>110</v>
      </c>
      <c r="BC18" s="28">
        <v>113</v>
      </c>
      <c r="BD18" s="28">
        <v>108</v>
      </c>
      <c r="BE18" s="26">
        <v>12</v>
      </c>
      <c r="BF18" s="29">
        <v>110</v>
      </c>
      <c r="BG18" s="29">
        <v>110</v>
      </c>
      <c r="BH18" s="29">
        <v>112</v>
      </c>
      <c r="BI18" s="29">
        <v>98</v>
      </c>
      <c r="BJ18" s="29">
        <v>113</v>
      </c>
      <c r="BK18" s="29">
        <v>110</v>
      </c>
      <c r="BL18" s="29">
        <v>109</v>
      </c>
      <c r="BM18" s="29">
        <v>111</v>
      </c>
      <c r="BN18" s="29">
        <v>105</v>
      </c>
      <c r="BO18" s="26">
        <v>12</v>
      </c>
      <c r="BP18" s="30">
        <v>108</v>
      </c>
      <c r="BQ18" s="30">
        <v>109</v>
      </c>
      <c r="BR18" s="30">
        <v>109</v>
      </c>
      <c r="BS18" s="30">
        <v>97</v>
      </c>
      <c r="BT18" s="30">
        <v>111</v>
      </c>
      <c r="BU18" s="30">
        <v>109</v>
      </c>
      <c r="BV18" s="30">
        <v>108</v>
      </c>
      <c r="BW18" s="30">
        <v>110</v>
      </c>
      <c r="BX18" s="30">
        <v>104</v>
      </c>
      <c r="BY18" s="26">
        <v>12</v>
      </c>
      <c r="BZ18" s="31">
        <v>106</v>
      </c>
      <c r="CA18" s="31">
        <v>108</v>
      </c>
      <c r="CB18" s="31">
        <v>106</v>
      </c>
      <c r="CC18" s="31">
        <v>95</v>
      </c>
      <c r="CD18" s="31">
        <v>109</v>
      </c>
      <c r="CE18" s="31">
        <v>107</v>
      </c>
      <c r="CF18" s="31">
        <v>107</v>
      </c>
      <c r="CG18" s="31">
        <v>109</v>
      </c>
      <c r="CH18" s="31">
        <v>102</v>
      </c>
      <c r="CI18" s="26">
        <v>12</v>
      </c>
      <c r="CJ18" s="22">
        <v>101</v>
      </c>
      <c r="CK18" s="22">
        <v>105</v>
      </c>
      <c r="CL18" s="22">
        <v>104</v>
      </c>
      <c r="CM18" s="22">
        <v>92</v>
      </c>
      <c r="CN18" s="22">
        <v>109</v>
      </c>
      <c r="CO18" s="22">
        <v>106</v>
      </c>
      <c r="CP18" s="22">
        <v>106</v>
      </c>
      <c r="CQ18" s="22">
        <v>109</v>
      </c>
      <c r="CR18" s="22">
        <v>101</v>
      </c>
      <c r="CS18" s="26">
        <v>12</v>
      </c>
      <c r="CT18" s="27">
        <v>101</v>
      </c>
      <c r="CU18" s="27">
        <v>106</v>
      </c>
      <c r="CV18" s="27">
        <v>104</v>
      </c>
      <c r="CW18" s="27">
        <v>92</v>
      </c>
      <c r="CX18" s="27">
        <v>107</v>
      </c>
      <c r="CY18" s="27">
        <v>106</v>
      </c>
      <c r="CZ18" s="27">
        <v>106</v>
      </c>
      <c r="DA18" s="27">
        <v>108</v>
      </c>
      <c r="DB18" s="27">
        <v>102</v>
      </c>
      <c r="DC18" s="26">
        <v>12</v>
      </c>
      <c r="DD18" s="28">
        <v>101</v>
      </c>
      <c r="DE18" s="28">
        <v>105</v>
      </c>
      <c r="DF18" s="28">
        <v>105</v>
      </c>
      <c r="DG18" s="28">
        <v>92</v>
      </c>
      <c r="DH18" s="28">
        <v>107</v>
      </c>
      <c r="DI18" s="28">
        <v>106</v>
      </c>
      <c r="DJ18" s="28">
        <v>107</v>
      </c>
      <c r="DK18" s="28">
        <v>109</v>
      </c>
      <c r="DL18" s="28">
        <v>104</v>
      </c>
      <c r="DM18" s="26">
        <v>12</v>
      </c>
      <c r="DN18" s="29">
        <v>101</v>
      </c>
      <c r="DO18" s="29">
        <v>106</v>
      </c>
      <c r="DP18" s="29">
        <v>104</v>
      </c>
      <c r="DQ18" s="29">
        <v>94</v>
      </c>
      <c r="DR18" s="29">
        <v>107</v>
      </c>
      <c r="DS18" s="29">
        <v>106</v>
      </c>
      <c r="DT18" s="29">
        <v>106</v>
      </c>
      <c r="DU18" s="29">
        <v>109</v>
      </c>
      <c r="DV18" s="29">
        <v>106</v>
      </c>
      <c r="DW18" s="26">
        <v>12</v>
      </c>
      <c r="DX18" s="30">
        <v>104</v>
      </c>
      <c r="DY18" s="30">
        <v>107</v>
      </c>
      <c r="DZ18" s="30">
        <v>106</v>
      </c>
      <c r="EA18" s="30">
        <v>93</v>
      </c>
      <c r="EB18" s="30">
        <v>109</v>
      </c>
      <c r="EC18" s="30">
        <v>106</v>
      </c>
      <c r="ED18" s="30">
        <v>108</v>
      </c>
      <c r="EE18" s="30">
        <v>109</v>
      </c>
      <c r="EF18" s="30">
        <v>108</v>
      </c>
      <c r="EG18" s="26">
        <v>12</v>
      </c>
      <c r="EH18" s="31">
        <v>107</v>
      </c>
      <c r="EI18" s="31">
        <v>111</v>
      </c>
      <c r="EJ18" s="31">
        <v>108</v>
      </c>
      <c r="EK18" s="31">
        <v>94</v>
      </c>
      <c r="EL18" s="31">
        <v>109</v>
      </c>
      <c r="EM18" s="31">
        <v>107</v>
      </c>
      <c r="EN18" s="31">
        <v>109</v>
      </c>
      <c r="EO18" s="31">
        <v>111</v>
      </c>
      <c r="EP18" s="31">
        <v>109</v>
      </c>
      <c r="EQ18" s="26">
        <v>12</v>
      </c>
      <c r="ER18" s="27">
        <v>110</v>
      </c>
      <c r="ES18" s="27">
        <v>113</v>
      </c>
      <c r="ET18" s="27">
        <v>110</v>
      </c>
      <c r="EU18" s="27">
        <v>94</v>
      </c>
      <c r="EV18" s="27">
        <v>110</v>
      </c>
      <c r="EW18" s="27">
        <v>108</v>
      </c>
      <c r="EX18" s="27">
        <v>112</v>
      </c>
      <c r="EY18" s="27">
        <v>112</v>
      </c>
      <c r="EZ18" s="27">
        <v>111</v>
      </c>
    </row>
    <row r="19" spans="2:156" ht="14.5">
      <c r="B19" s="66">
        <v>2</v>
      </c>
      <c r="C19" s="125"/>
      <c r="E19" s="66">
        <v>22</v>
      </c>
      <c r="F19" s="125"/>
      <c r="H19" s="66">
        <v>42</v>
      </c>
      <c r="I19" s="125"/>
      <c r="K19" s="66">
        <v>62</v>
      </c>
      <c r="L19" s="8" t="s">
        <v>310</v>
      </c>
      <c r="N19" s="66">
        <v>78</v>
      </c>
      <c r="O19" s="125"/>
      <c r="R19" s="44"/>
      <c r="S19" s="55" t="s">
        <v>3</v>
      </c>
      <c r="T19" s="56" t="s">
        <v>1</v>
      </c>
      <c r="U19" s="177" t="str">
        <f t="shared" si="0"/>
        <v>Arman</v>
      </c>
      <c r="V19" s="177"/>
      <c r="W19" s="177"/>
      <c r="X19" s="177"/>
      <c r="Y19" s="46"/>
      <c r="AA19" s="26">
        <v>13</v>
      </c>
      <c r="AB19" s="22">
        <v>123</v>
      </c>
      <c r="AC19" s="22">
        <v>122</v>
      </c>
      <c r="AD19" s="22">
        <v>126</v>
      </c>
      <c r="AE19" s="22">
        <v>112</v>
      </c>
      <c r="AF19" s="22">
        <v>126</v>
      </c>
      <c r="AG19" s="22">
        <v>124</v>
      </c>
      <c r="AH19" s="22">
        <v>119</v>
      </c>
      <c r="AI19" s="22">
        <v>120</v>
      </c>
      <c r="AJ19" s="22">
        <v>119</v>
      </c>
      <c r="AK19" s="26">
        <v>13</v>
      </c>
      <c r="AL19" s="27">
        <v>122</v>
      </c>
      <c r="AM19" s="27">
        <v>119</v>
      </c>
      <c r="AN19" s="27">
        <v>123</v>
      </c>
      <c r="AO19" s="27">
        <v>109</v>
      </c>
      <c r="AP19" s="27">
        <v>123</v>
      </c>
      <c r="AQ19" s="27">
        <v>121</v>
      </c>
      <c r="AR19" s="27">
        <v>116</v>
      </c>
      <c r="AS19" s="27">
        <v>118</v>
      </c>
      <c r="AT19" s="27">
        <v>117</v>
      </c>
      <c r="AU19" s="26">
        <v>13</v>
      </c>
      <c r="AV19" s="28">
        <v>118</v>
      </c>
      <c r="AW19" s="28">
        <v>116</v>
      </c>
      <c r="AX19" s="28">
        <v>120</v>
      </c>
      <c r="AY19" s="28">
        <v>106</v>
      </c>
      <c r="AZ19" s="28">
        <v>118</v>
      </c>
      <c r="BA19" s="28">
        <v>117</v>
      </c>
      <c r="BB19" s="28">
        <v>113</v>
      </c>
      <c r="BC19" s="28">
        <v>117</v>
      </c>
      <c r="BD19" s="28">
        <v>110</v>
      </c>
      <c r="BE19" s="26">
        <v>13</v>
      </c>
      <c r="BF19" s="29">
        <v>113</v>
      </c>
      <c r="BG19" s="29">
        <v>114</v>
      </c>
      <c r="BH19" s="29">
        <v>115</v>
      </c>
      <c r="BI19" s="29">
        <v>100</v>
      </c>
      <c r="BJ19" s="29">
        <v>116</v>
      </c>
      <c r="BK19" s="29">
        <v>112</v>
      </c>
      <c r="BL19" s="29">
        <v>111</v>
      </c>
      <c r="BM19" s="29">
        <v>114</v>
      </c>
      <c r="BN19" s="29">
        <v>108</v>
      </c>
      <c r="BO19" s="26">
        <v>13</v>
      </c>
      <c r="BP19" s="30">
        <v>111</v>
      </c>
      <c r="BQ19" s="30">
        <v>113</v>
      </c>
      <c r="BR19" s="30">
        <v>111</v>
      </c>
      <c r="BS19" s="30">
        <v>99</v>
      </c>
      <c r="BT19" s="30">
        <v>113</v>
      </c>
      <c r="BU19" s="30">
        <v>111</v>
      </c>
      <c r="BV19" s="30">
        <v>111</v>
      </c>
      <c r="BW19" s="30">
        <v>113</v>
      </c>
      <c r="BX19" s="30">
        <v>106</v>
      </c>
      <c r="BY19" s="26">
        <v>13</v>
      </c>
      <c r="BZ19" s="31">
        <v>108</v>
      </c>
      <c r="CA19" s="31">
        <v>112</v>
      </c>
      <c r="CB19" s="31">
        <v>109</v>
      </c>
      <c r="CC19" s="31">
        <f>AVERAGE(CC18,CC20)</f>
        <v>96.5</v>
      </c>
      <c r="CD19" s="31">
        <v>112</v>
      </c>
      <c r="CE19" s="31">
        <v>110</v>
      </c>
      <c r="CF19" s="31">
        <v>110</v>
      </c>
      <c r="CG19" s="31">
        <v>112</v>
      </c>
      <c r="CH19" s="31">
        <v>104</v>
      </c>
      <c r="CI19" s="26">
        <v>13</v>
      </c>
      <c r="CJ19" s="22">
        <v>104</v>
      </c>
      <c r="CK19" s="22">
        <v>109</v>
      </c>
      <c r="CL19" s="22">
        <v>107</v>
      </c>
      <c r="CM19" s="22">
        <v>94</v>
      </c>
      <c r="CN19" s="22">
        <v>111</v>
      </c>
      <c r="CO19" s="22">
        <v>108</v>
      </c>
      <c r="CP19" s="22">
        <v>109</v>
      </c>
      <c r="CQ19" s="22">
        <v>111</v>
      </c>
      <c r="CR19" s="22">
        <v>103</v>
      </c>
      <c r="CS19" s="26">
        <v>13</v>
      </c>
      <c r="CT19" s="27">
        <v>104</v>
      </c>
      <c r="CU19" s="27">
        <v>109</v>
      </c>
      <c r="CV19" s="27">
        <v>107</v>
      </c>
      <c r="CW19" s="27">
        <v>94</v>
      </c>
      <c r="CX19" s="27">
        <v>110</v>
      </c>
      <c r="CY19" s="27">
        <v>108</v>
      </c>
      <c r="CZ19" s="27">
        <v>108</v>
      </c>
      <c r="DA19" s="27">
        <v>111</v>
      </c>
      <c r="DB19" s="27">
        <v>105</v>
      </c>
      <c r="DC19" s="26">
        <v>13</v>
      </c>
      <c r="DD19" s="28">
        <v>104</v>
      </c>
      <c r="DE19" s="28">
        <v>109</v>
      </c>
      <c r="DF19" s="28">
        <v>107</v>
      </c>
      <c r="DG19" s="28">
        <v>94</v>
      </c>
      <c r="DH19" s="28">
        <v>110</v>
      </c>
      <c r="DI19" s="28">
        <v>109</v>
      </c>
      <c r="DJ19" s="28">
        <v>109</v>
      </c>
      <c r="DK19" s="28">
        <v>112</v>
      </c>
      <c r="DL19" s="28">
        <v>107</v>
      </c>
      <c r="DM19" s="26">
        <v>13</v>
      </c>
      <c r="DN19" s="29">
        <v>104</v>
      </c>
      <c r="DO19" s="29">
        <v>110</v>
      </c>
      <c r="DP19" s="29">
        <v>107</v>
      </c>
      <c r="DQ19" s="29">
        <v>96</v>
      </c>
      <c r="DR19" s="29">
        <v>110</v>
      </c>
      <c r="DS19" s="29">
        <v>108</v>
      </c>
      <c r="DT19" s="29">
        <v>109</v>
      </c>
      <c r="DU19" s="29">
        <v>112</v>
      </c>
      <c r="DV19" s="29">
        <v>108</v>
      </c>
      <c r="DW19" s="26">
        <v>13</v>
      </c>
      <c r="DX19" s="30">
        <v>107</v>
      </c>
      <c r="DY19" s="30">
        <v>110</v>
      </c>
      <c r="DZ19" s="30">
        <v>108</v>
      </c>
      <c r="EA19" s="30">
        <v>95</v>
      </c>
      <c r="EB19" s="30">
        <v>111</v>
      </c>
      <c r="EC19" s="30">
        <v>108</v>
      </c>
      <c r="ED19" s="30">
        <v>110</v>
      </c>
      <c r="EE19" s="30">
        <v>112</v>
      </c>
      <c r="EF19" s="30">
        <v>110</v>
      </c>
      <c r="EG19" s="26">
        <v>13</v>
      </c>
      <c r="EH19" s="31">
        <v>110</v>
      </c>
      <c r="EI19" s="31">
        <v>114</v>
      </c>
      <c r="EJ19" s="31">
        <v>110</v>
      </c>
      <c r="EK19" s="31">
        <v>96</v>
      </c>
      <c r="EL19" s="31">
        <v>112</v>
      </c>
      <c r="EM19" s="31">
        <v>109</v>
      </c>
      <c r="EN19" s="31">
        <v>112</v>
      </c>
      <c r="EO19" s="31">
        <v>114</v>
      </c>
      <c r="EP19" s="31">
        <v>111</v>
      </c>
      <c r="EQ19" s="26">
        <v>13</v>
      </c>
      <c r="ER19" s="27">
        <v>113</v>
      </c>
      <c r="ES19" s="27">
        <v>116</v>
      </c>
      <c r="ET19" s="27">
        <v>112</v>
      </c>
      <c r="EU19" s="27">
        <v>96</v>
      </c>
      <c r="EV19" s="27">
        <v>113</v>
      </c>
      <c r="EW19" s="27">
        <v>110</v>
      </c>
      <c r="EX19" s="27">
        <v>115</v>
      </c>
      <c r="EY19" s="27">
        <v>115</v>
      </c>
      <c r="EZ19" s="27">
        <v>114</v>
      </c>
    </row>
    <row r="20" spans="2:156" ht="14.5">
      <c r="B20" s="66">
        <v>3</v>
      </c>
      <c r="C20" s="125"/>
      <c r="E20" s="66">
        <v>23</v>
      </c>
      <c r="F20" s="125"/>
      <c r="H20" s="66">
        <v>43</v>
      </c>
      <c r="I20" s="125"/>
      <c r="K20" s="66">
        <v>63</v>
      </c>
      <c r="L20" s="8" t="s">
        <v>310</v>
      </c>
      <c r="N20" s="66">
        <v>79</v>
      </c>
      <c r="O20" s="125"/>
      <c r="R20" s="44"/>
      <c r="S20" s="55" t="s">
        <v>40</v>
      </c>
      <c r="T20" s="56" t="s">
        <v>1</v>
      </c>
      <c r="U20" s="178">
        <f t="shared" si="0"/>
        <v>34316</v>
      </c>
      <c r="V20" s="178"/>
      <c r="W20" s="178"/>
      <c r="X20" s="178"/>
      <c r="Y20" s="46"/>
      <c r="AA20" s="26">
        <v>14</v>
      </c>
      <c r="AB20" s="22">
        <v>126</v>
      </c>
      <c r="AC20" s="22">
        <v>125</v>
      </c>
      <c r="AD20" s="22">
        <v>129</v>
      </c>
      <c r="AE20" s="22">
        <v>114</v>
      </c>
      <c r="AF20" s="22">
        <v>129</v>
      </c>
      <c r="AG20" s="22">
        <v>127</v>
      </c>
      <c r="AH20" s="22">
        <v>122</v>
      </c>
      <c r="AI20" s="22">
        <v>123</v>
      </c>
      <c r="AJ20" s="22">
        <v>122</v>
      </c>
      <c r="AK20" s="26">
        <v>14</v>
      </c>
      <c r="AL20" s="27">
        <v>125</v>
      </c>
      <c r="AM20" s="27">
        <v>123</v>
      </c>
      <c r="AN20" s="27">
        <v>127</v>
      </c>
      <c r="AO20" s="27">
        <v>111</v>
      </c>
      <c r="AP20" s="27">
        <v>126</v>
      </c>
      <c r="AQ20" s="27">
        <v>124</v>
      </c>
      <c r="AR20" s="27">
        <v>120</v>
      </c>
      <c r="AS20" s="27">
        <v>122</v>
      </c>
      <c r="AT20" s="27">
        <v>120</v>
      </c>
      <c r="AU20" s="26">
        <v>14</v>
      </c>
      <c r="AV20" s="28">
        <v>121</v>
      </c>
      <c r="AW20" s="28">
        <v>120</v>
      </c>
      <c r="AX20" s="28">
        <v>123</v>
      </c>
      <c r="AY20" s="28">
        <v>107</v>
      </c>
      <c r="AZ20" s="28">
        <v>121</v>
      </c>
      <c r="BA20" s="28">
        <v>120</v>
      </c>
      <c r="BB20" s="28">
        <v>115</v>
      </c>
      <c r="BC20" s="28">
        <v>120</v>
      </c>
      <c r="BD20" s="28">
        <v>113</v>
      </c>
      <c r="BE20" s="26">
        <v>14</v>
      </c>
      <c r="BF20" s="29">
        <v>115</v>
      </c>
      <c r="BG20" s="29">
        <v>118</v>
      </c>
      <c r="BH20" s="29">
        <v>117</v>
      </c>
      <c r="BI20" s="29">
        <v>102</v>
      </c>
      <c r="BJ20" s="29">
        <v>119</v>
      </c>
      <c r="BK20" s="29">
        <v>115</v>
      </c>
      <c r="BL20" s="29">
        <v>114</v>
      </c>
      <c r="BM20" s="29">
        <v>117</v>
      </c>
      <c r="BN20" s="29">
        <v>110</v>
      </c>
      <c r="BO20" s="26">
        <v>14</v>
      </c>
      <c r="BP20" s="30">
        <v>114</v>
      </c>
      <c r="BQ20" s="30">
        <v>116</v>
      </c>
      <c r="BR20" s="30">
        <v>114</v>
      </c>
      <c r="BS20" s="30">
        <v>100</v>
      </c>
      <c r="BT20" s="30">
        <v>116</v>
      </c>
      <c r="BU20" s="30">
        <v>114</v>
      </c>
      <c r="BV20" s="30">
        <v>113</v>
      </c>
      <c r="BW20" s="30">
        <v>116</v>
      </c>
      <c r="BX20" s="30">
        <v>109</v>
      </c>
      <c r="BY20" s="26">
        <v>14</v>
      </c>
      <c r="BZ20" s="31">
        <v>111</v>
      </c>
      <c r="CA20" s="31">
        <v>115</v>
      </c>
      <c r="CB20" s="31">
        <v>112</v>
      </c>
      <c r="CC20" s="31">
        <v>98</v>
      </c>
      <c r="CD20" s="31">
        <v>115</v>
      </c>
      <c r="CE20" s="31">
        <v>112</v>
      </c>
      <c r="CF20" s="31">
        <v>113</v>
      </c>
      <c r="CG20" s="31">
        <v>115</v>
      </c>
      <c r="CH20" s="31">
        <v>106</v>
      </c>
      <c r="CI20" s="26">
        <v>14</v>
      </c>
      <c r="CJ20" s="22">
        <v>107</v>
      </c>
      <c r="CK20" s="22">
        <v>112</v>
      </c>
      <c r="CL20" s="22">
        <v>109</v>
      </c>
      <c r="CM20" s="22">
        <v>96</v>
      </c>
      <c r="CN20" s="22">
        <v>114</v>
      </c>
      <c r="CO20" s="22">
        <v>111</v>
      </c>
      <c r="CP20" s="22">
        <v>111</v>
      </c>
      <c r="CQ20" s="22">
        <v>114</v>
      </c>
      <c r="CR20" s="22">
        <v>106</v>
      </c>
      <c r="CS20" s="26">
        <v>14</v>
      </c>
      <c r="CT20" s="27">
        <v>107</v>
      </c>
      <c r="CU20" s="27">
        <v>113</v>
      </c>
      <c r="CV20" s="27">
        <v>109</v>
      </c>
      <c r="CW20" s="27">
        <v>95</v>
      </c>
      <c r="CX20" s="27">
        <v>113</v>
      </c>
      <c r="CY20" s="27">
        <v>110</v>
      </c>
      <c r="CZ20" s="27">
        <v>111</v>
      </c>
      <c r="DA20" s="27">
        <v>114</v>
      </c>
      <c r="DB20" s="27">
        <v>107</v>
      </c>
      <c r="DC20" s="26">
        <v>14</v>
      </c>
      <c r="DD20" s="28">
        <v>108</v>
      </c>
      <c r="DE20" s="28">
        <v>112</v>
      </c>
      <c r="DF20" s="28">
        <v>109</v>
      </c>
      <c r="DG20" s="28">
        <v>96</v>
      </c>
      <c r="DH20" s="28">
        <v>112</v>
      </c>
      <c r="DI20" s="28">
        <v>111</v>
      </c>
      <c r="DJ20" s="28">
        <v>112</v>
      </c>
      <c r="DK20" s="28">
        <v>115</v>
      </c>
      <c r="DL20" s="28">
        <v>109</v>
      </c>
      <c r="DM20" s="26">
        <v>14</v>
      </c>
      <c r="DN20" s="29">
        <v>107</v>
      </c>
      <c r="DO20" s="29">
        <v>113</v>
      </c>
      <c r="DP20" s="29">
        <v>109</v>
      </c>
      <c r="DQ20" s="29">
        <v>97</v>
      </c>
      <c r="DR20" s="29">
        <v>112</v>
      </c>
      <c r="DS20" s="29">
        <v>111</v>
      </c>
      <c r="DT20" s="29">
        <v>111</v>
      </c>
      <c r="DU20" s="29">
        <v>115</v>
      </c>
      <c r="DV20" s="29">
        <v>110</v>
      </c>
      <c r="DW20" s="26">
        <v>14</v>
      </c>
      <c r="DX20" s="30">
        <v>110</v>
      </c>
      <c r="DY20" s="30">
        <v>114</v>
      </c>
      <c r="DZ20" s="30">
        <v>111</v>
      </c>
      <c r="EA20" s="30">
        <v>96</v>
      </c>
      <c r="EB20" s="30">
        <v>113</v>
      </c>
      <c r="EC20" s="30">
        <v>111</v>
      </c>
      <c r="ED20" s="30">
        <v>113</v>
      </c>
      <c r="EE20" s="30">
        <v>115</v>
      </c>
      <c r="EF20" s="30">
        <v>112</v>
      </c>
      <c r="EG20" s="26">
        <v>14</v>
      </c>
      <c r="EH20" s="31">
        <v>113</v>
      </c>
      <c r="EI20" s="31">
        <v>117</v>
      </c>
      <c r="EJ20" s="31">
        <v>112</v>
      </c>
      <c r="EK20" s="31">
        <v>97</v>
      </c>
      <c r="EL20" s="31">
        <v>115</v>
      </c>
      <c r="EM20" s="31">
        <v>111</v>
      </c>
      <c r="EN20" s="31">
        <v>115</v>
      </c>
      <c r="EO20" s="31">
        <v>116</v>
      </c>
      <c r="EP20" s="31">
        <v>113</v>
      </c>
      <c r="EQ20" s="26">
        <v>14</v>
      </c>
      <c r="ER20" s="27">
        <v>116</v>
      </c>
      <c r="ES20" s="27">
        <v>119</v>
      </c>
      <c r="ET20" s="27">
        <v>114</v>
      </c>
      <c r="EU20" s="27">
        <v>97</v>
      </c>
      <c r="EV20" s="27">
        <v>116</v>
      </c>
      <c r="EW20" s="27">
        <v>112</v>
      </c>
      <c r="EX20" s="27">
        <v>117</v>
      </c>
      <c r="EY20" s="27">
        <v>117</v>
      </c>
      <c r="EZ20" s="27">
        <v>116</v>
      </c>
    </row>
    <row r="21" spans="2:156" ht="14.5">
      <c r="B21" s="66">
        <v>4</v>
      </c>
      <c r="C21" s="125"/>
      <c r="E21" s="66">
        <v>24</v>
      </c>
      <c r="F21" s="125"/>
      <c r="H21" s="66">
        <v>44</v>
      </c>
      <c r="I21" s="125"/>
      <c r="K21" s="66">
        <v>64</v>
      </c>
      <c r="L21" s="8" t="s">
        <v>311</v>
      </c>
      <c r="N21" s="66">
        <v>80</v>
      </c>
      <c r="O21" s="125"/>
      <c r="R21" s="44"/>
      <c r="S21" s="55" t="s">
        <v>6</v>
      </c>
      <c r="T21" s="56" t="s">
        <v>1</v>
      </c>
      <c r="U21" s="178">
        <f t="shared" si="0"/>
        <v>43754</v>
      </c>
      <c r="V21" s="178"/>
      <c r="W21" s="178"/>
      <c r="X21" s="178"/>
      <c r="Y21" s="46"/>
      <c r="AA21" s="26">
        <v>15</v>
      </c>
      <c r="AB21" s="22">
        <v>131</v>
      </c>
      <c r="AC21" s="22">
        <v>129</v>
      </c>
      <c r="AD21" s="22">
        <v>133</v>
      </c>
      <c r="AE21" s="22">
        <v>117</v>
      </c>
      <c r="AF21" s="22">
        <v>133</v>
      </c>
      <c r="AG21" s="22">
        <v>130</v>
      </c>
      <c r="AH21" s="22">
        <v>125</v>
      </c>
      <c r="AI21" s="22">
        <v>126</v>
      </c>
      <c r="AJ21" s="22">
        <v>125</v>
      </c>
      <c r="AK21" s="26">
        <v>15</v>
      </c>
      <c r="AL21" s="27">
        <v>129</v>
      </c>
      <c r="AM21" s="27">
        <v>127</v>
      </c>
      <c r="AN21" s="27">
        <v>130</v>
      </c>
      <c r="AO21" s="27">
        <v>114</v>
      </c>
      <c r="AP21" s="27">
        <v>130</v>
      </c>
      <c r="AQ21" s="27">
        <v>127</v>
      </c>
      <c r="AR21" s="27">
        <v>123</v>
      </c>
      <c r="AS21" s="27">
        <v>125</v>
      </c>
      <c r="AT21" s="27">
        <v>124</v>
      </c>
      <c r="AU21" s="26">
        <v>15</v>
      </c>
      <c r="AV21" s="28">
        <v>125</v>
      </c>
      <c r="AW21" s="28">
        <v>124</v>
      </c>
      <c r="AX21" s="28">
        <v>126</v>
      </c>
      <c r="AY21" s="28">
        <v>109</v>
      </c>
      <c r="AZ21" s="28">
        <v>124</v>
      </c>
      <c r="BA21" s="28">
        <v>123</v>
      </c>
      <c r="BB21" s="28">
        <v>118</v>
      </c>
      <c r="BC21" s="28">
        <v>124</v>
      </c>
      <c r="BD21" s="28">
        <v>115</v>
      </c>
      <c r="BE21" s="26">
        <v>15</v>
      </c>
      <c r="BF21" s="29">
        <v>119</v>
      </c>
      <c r="BG21" s="29">
        <v>121</v>
      </c>
      <c r="BH21" s="29">
        <v>120</v>
      </c>
      <c r="BI21" s="29">
        <v>104</v>
      </c>
      <c r="BJ21" s="29">
        <v>122</v>
      </c>
      <c r="BK21" s="29">
        <v>118</v>
      </c>
      <c r="BL21" s="29">
        <v>117</v>
      </c>
      <c r="BM21" s="29">
        <v>120</v>
      </c>
      <c r="BN21" s="29">
        <v>113</v>
      </c>
      <c r="BO21" s="26">
        <v>15</v>
      </c>
      <c r="BP21" s="30">
        <v>116</v>
      </c>
      <c r="BQ21" s="30">
        <v>120</v>
      </c>
      <c r="BR21" s="30">
        <v>117</v>
      </c>
      <c r="BS21" s="30">
        <v>102</v>
      </c>
      <c r="BT21" s="30">
        <v>119</v>
      </c>
      <c r="BU21" s="30">
        <v>116</v>
      </c>
      <c r="BV21" s="30">
        <v>116</v>
      </c>
      <c r="BW21" s="30">
        <v>119</v>
      </c>
      <c r="BX21" s="30">
        <v>111</v>
      </c>
      <c r="BY21" s="26">
        <v>15</v>
      </c>
      <c r="BZ21" s="31">
        <v>114</v>
      </c>
      <c r="CA21" s="31">
        <v>119</v>
      </c>
      <c r="CB21" s="31">
        <v>114</v>
      </c>
      <c r="CC21" s="31">
        <f>AVERAGE(CC20,CC22)</f>
        <v>100</v>
      </c>
      <c r="CD21" s="31">
        <v>118</v>
      </c>
      <c r="CE21" s="31">
        <v>114</v>
      </c>
      <c r="CF21" s="31">
        <v>115</v>
      </c>
      <c r="CG21" s="31">
        <v>118</v>
      </c>
      <c r="CH21" s="31">
        <v>109</v>
      </c>
      <c r="CI21" s="26">
        <v>15</v>
      </c>
      <c r="CJ21" s="22">
        <v>110</v>
      </c>
      <c r="CK21" s="22">
        <v>116</v>
      </c>
      <c r="CL21" s="22">
        <v>112</v>
      </c>
      <c r="CM21" s="22">
        <v>98</v>
      </c>
      <c r="CN21" s="22">
        <v>117</v>
      </c>
      <c r="CO21" s="22">
        <v>113</v>
      </c>
      <c r="CP21" s="22">
        <v>114</v>
      </c>
      <c r="CQ21" s="22">
        <v>117</v>
      </c>
      <c r="CR21" s="22">
        <v>108</v>
      </c>
      <c r="CS21" s="26">
        <v>15</v>
      </c>
      <c r="CT21" s="27">
        <v>110</v>
      </c>
      <c r="CU21" s="27">
        <v>116</v>
      </c>
      <c r="CV21" s="27">
        <v>111</v>
      </c>
      <c r="CW21" s="27">
        <v>97</v>
      </c>
      <c r="CX21" s="27">
        <v>115</v>
      </c>
      <c r="CY21" s="27">
        <v>112</v>
      </c>
      <c r="CZ21" s="27">
        <v>113</v>
      </c>
      <c r="DA21" s="27">
        <v>117</v>
      </c>
      <c r="DB21" s="27">
        <v>109</v>
      </c>
      <c r="DC21" s="26">
        <v>15</v>
      </c>
      <c r="DD21" s="28">
        <v>111</v>
      </c>
      <c r="DE21" s="28">
        <v>115</v>
      </c>
      <c r="DF21" s="28">
        <v>112</v>
      </c>
      <c r="DG21" s="28">
        <v>98</v>
      </c>
      <c r="DH21" s="28">
        <v>115</v>
      </c>
      <c r="DI21" s="28">
        <v>113</v>
      </c>
      <c r="DJ21" s="28">
        <v>115</v>
      </c>
      <c r="DK21" s="28">
        <v>118</v>
      </c>
      <c r="DL21" s="28">
        <v>111</v>
      </c>
      <c r="DM21" s="26">
        <v>15</v>
      </c>
      <c r="DN21" s="29">
        <v>110</v>
      </c>
      <c r="DO21" s="29">
        <v>117</v>
      </c>
      <c r="DP21" s="29">
        <v>111</v>
      </c>
      <c r="DQ21" s="29">
        <v>98</v>
      </c>
      <c r="DR21" s="29">
        <v>115</v>
      </c>
      <c r="DS21" s="29">
        <v>113</v>
      </c>
      <c r="DT21" s="29">
        <v>115</v>
      </c>
      <c r="DU21" s="29">
        <v>118</v>
      </c>
      <c r="DV21" s="29">
        <v>112</v>
      </c>
      <c r="DW21" s="26">
        <v>15</v>
      </c>
      <c r="DX21" s="30">
        <v>113</v>
      </c>
      <c r="DY21" s="30">
        <v>117</v>
      </c>
      <c r="DZ21" s="30">
        <v>113</v>
      </c>
      <c r="EA21" s="30">
        <v>98</v>
      </c>
      <c r="EB21" s="30">
        <v>116</v>
      </c>
      <c r="EC21" s="30">
        <v>113</v>
      </c>
      <c r="ED21" s="30">
        <v>115</v>
      </c>
      <c r="EE21" s="30">
        <v>117</v>
      </c>
      <c r="EF21" s="30">
        <v>115</v>
      </c>
      <c r="EG21" s="26">
        <v>15</v>
      </c>
      <c r="EH21" s="31">
        <v>115</v>
      </c>
      <c r="EI21" s="31">
        <v>120</v>
      </c>
      <c r="EJ21" s="31">
        <v>114</v>
      </c>
      <c r="EK21" s="31">
        <v>99</v>
      </c>
      <c r="EL21" s="31">
        <v>117</v>
      </c>
      <c r="EM21" s="31">
        <v>113</v>
      </c>
      <c r="EN21" s="31">
        <v>117</v>
      </c>
      <c r="EO21" s="31">
        <v>119</v>
      </c>
      <c r="EP21" s="31">
        <v>116</v>
      </c>
      <c r="EQ21" s="26">
        <v>15</v>
      </c>
      <c r="ER21" s="27">
        <v>119</v>
      </c>
      <c r="ES21" s="27">
        <v>123</v>
      </c>
      <c r="ET21" s="27">
        <v>116</v>
      </c>
      <c r="EU21" s="27">
        <v>99</v>
      </c>
      <c r="EV21" s="27">
        <v>119</v>
      </c>
      <c r="EW21" s="27">
        <v>114</v>
      </c>
      <c r="EX21" s="27">
        <v>119</v>
      </c>
      <c r="EY21" s="27">
        <v>120</v>
      </c>
      <c r="EZ21" s="27">
        <v>118</v>
      </c>
    </row>
    <row r="22" spans="2:156" ht="14.5">
      <c r="B22" s="66">
        <v>5</v>
      </c>
      <c r="C22" s="125"/>
      <c r="E22" s="66">
        <v>25</v>
      </c>
      <c r="F22" s="125"/>
      <c r="H22" s="66">
        <v>45</v>
      </c>
      <c r="I22" s="125"/>
      <c r="K22" s="66">
        <v>65</v>
      </c>
      <c r="L22" s="8" t="s">
        <v>311</v>
      </c>
      <c r="N22" s="66">
        <v>81</v>
      </c>
      <c r="O22" s="125"/>
      <c r="R22" s="44"/>
      <c r="S22" s="55" t="s">
        <v>41</v>
      </c>
      <c r="T22" s="56" t="s">
        <v>1</v>
      </c>
      <c r="U22" s="177">
        <f t="shared" si="0"/>
        <v>26</v>
      </c>
      <c r="V22" s="177"/>
      <c r="W22" s="177"/>
      <c r="X22" s="177"/>
      <c r="Y22" s="46"/>
      <c r="AA22" s="26">
        <v>16</v>
      </c>
      <c r="AB22" s="22">
        <v>135</v>
      </c>
      <c r="AC22" s="22">
        <v>133</v>
      </c>
      <c r="AD22" s="22">
        <v>137</v>
      </c>
      <c r="AE22" s="22">
        <v>119</v>
      </c>
      <c r="AF22" s="22">
        <v>137</v>
      </c>
      <c r="AG22" s="22">
        <v>134</v>
      </c>
      <c r="AH22" s="22">
        <v>129</v>
      </c>
      <c r="AI22" s="22">
        <v>130</v>
      </c>
      <c r="AJ22" s="22">
        <v>128</v>
      </c>
      <c r="AK22" s="26">
        <v>16</v>
      </c>
      <c r="AL22" s="27">
        <v>133</v>
      </c>
      <c r="AM22" s="27">
        <v>130</v>
      </c>
      <c r="AN22" s="27">
        <v>134</v>
      </c>
      <c r="AO22" s="27">
        <v>116</v>
      </c>
      <c r="AP22" s="27">
        <v>134</v>
      </c>
      <c r="AQ22" s="27">
        <v>130</v>
      </c>
      <c r="AR22" s="27">
        <v>126</v>
      </c>
      <c r="AS22" s="27">
        <v>129</v>
      </c>
      <c r="AT22" s="27">
        <v>127</v>
      </c>
      <c r="AU22" s="26">
        <v>16</v>
      </c>
      <c r="AV22" s="28">
        <v>128</v>
      </c>
      <c r="AW22" s="28">
        <v>127</v>
      </c>
      <c r="AX22" s="28">
        <v>129</v>
      </c>
      <c r="AY22" s="28">
        <v>110</v>
      </c>
      <c r="AZ22" s="28">
        <v>127</v>
      </c>
      <c r="BA22" s="28">
        <v>126</v>
      </c>
      <c r="BB22" s="28">
        <v>121</v>
      </c>
      <c r="BC22" s="28">
        <v>127</v>
      </c>
      <c r="BD22" s="28">
        <v>118</v>
      </c>
      <c r="BE22" s="26">
        <v>16</v>
      </c>
      <c r="BF22" s="29">
        <v>122</v>
      </c>
      <c r="BG22" s="29">
        <v>125</v>
      </c>
      <c r="BH22" s="29">
        <v>123</v>
      </c>
      <c r="BI22" s="29">
        <v>105</v>
      </c>
      <c r="BJ22" s="29">
        <v>124</v>
      </c>
      <c r="BK22" s="29">
        <v>120</v>
      </c>
      <c r="BL22" s="29">
        <v>120</v>
      </c>
      <c r="BM22" s="29">
        <v>123</v>
      </c>
      <c r="BN22" s="29">
        <v>116</v>
      </c>
      <c r="BO22" s="26">
        <v>16</v>
      </c>
      <c r="BP22" s="30">
        <v>119</v>
      </c>
      <c r="BQ22" s="30">
        <v>124</v>
      </c>
      <c r="BR22" s="30">
        <v>119</v>
      </c>
      <c r="BS22" s="30">
        <v>103</v>
      </c>
      <c r="BT22" s="30">
        <v>122</v>
      </c>
      <c r="BU22" s="30">
        <v>119</v>
      </c>
      <c r="BV22" s="30">
        <v>119</v>
      </c>
      <c r="BW22" s="30">
        <v>122</v>
      </c>
      <c r="BX22" s="30">
        <v>114</v>
      </c>
      <c r="BY22" s="26">
        <v>16</v>
      </c>
      <c r="BZ22" s="31">
        <v>117</v>
      </c>
      <c r="CA22" s="31">
        <v>123</v>
      </c>
      <c r="CB22" s="31">
        <v>117</v>
      </c>
      <c r="CC22" s="31">
        <v>102</v>
      </c>
      <c r="CD22" s="31">
        <v>121</v>
      </c>
      <c r="CE22" s="31">
        <v>117</v>
      </c>
      <c r="CF22" s="31">
        <v>118</v>
      </c>
      <c r="CG22" s="31">
        <v>121</v>
      </c>
      <c r="CH22" s="31">
        <v>111</v>
      </c>
      <c r="CI22" s="26">
        <v>16</v>
      </c>
      <c r="CJ22" s="22">
        <v>113</v>
      </c>
      <c r="CK22" s="22">
        <v>120</v>
      </c>
      <c r="CL22" s="22">
        <v>115</v>
      </c>
      <c r="CM22" s="22">
        <v>100</v>
      </c>
      <c r="CN22" s="22">
        <v>120</v>
      </c>
      <c r="CO22" s="22">
        <v>115</v>
      </c>
      <c r="CP22" s="22">
        <v>117</v>
      </c>
      <c r="CQ22" s="22">
        <v>120</v>
      </c>
      <c r="CR22" s="22">
        <v>111</v>
      </c>
      <c r="CS22" s="26">
        <v>16</v>
      </c>
      <c r="CT22" s="27">
        <v>113</v>
      </c>
      <c r="CU22" s="27">
        <v>120</v>
      </c>
      <c r="CV22" s="27">
        <v>114</v>
      </c>
      <c r="CW22" s="27">
        <v>98</v>
      </c>
      <c r="CX22" s="27">
        <v>118</v>
      </c>
      <c r="CY22" s="27">
        <v>115</v>
      </c>
      <c r="CZ22" s="27">
        <v>116</v>
      </c>
      <c r="DA22" s="27">
        <v>120</v>
      </c>
      <c r="DB22" s="27">
        <v>112</v>
      </c>
      <c r="DC22" s="26">
        <v>16</v>
      </c>
      <c r="DD22" s="28">
        <v>114</v>
      </c>
      <c r="DE22" s="28">
        <v>119</v>
      </c>
      <c r="DF22" s="28">
        <v>114</v>
      </c>
      <c r="DG22" s="28">
        <v>99</v>
      </c>
      <c r="DH22" s="28">
        <v>118</v>
      </c>
      <c r="DI22" s="28">
        <v>116</v>
      </c>
      <c r="DJ22" s="28">
        <v>118</v>
      </c>
      <c r="DK22" s="28">
        <v>121</v>
      </c>
      <c r="DL22" s="28">
        <v>113</v>
      </c>
      <c r="DM22" s="26">
        <v>16</v>
      </c>
      <c r="DN22" s="29">
        <v>113</v>
      </c>
      <c r="DO22" s="29">
        <v>120</v>
      </c>
      <c r="DP22" s="29">
        <v>113</v>
      </c>
      <c r="DQ22" s="29">
        <v>99</v>
      </c>
      <c r="DR22" s="29">
        <v>118</v>
      </c>
      <c r="DS22" s="29">
        <v>115</v>
      </c>
      <c r="DT22" s="29">
        <v>117</v>
      </c>
      <c r="DU22" s="29">
        <v>120</v>
      </c>
      <c r="DV22" s="29">
        <v>114</v>
      </c>
      <c r="DW22" s="26">
        <v>16</v>
      </c>
      <c r="DX22" s="30">
        <v>116</v>
      </c>
      <c r="DY22" s="30">
        <v>120</v>
      </c>
      <c r="DZ22" s="30">
        <v>115</v>
      </c>
      <c r="EA22" s="30">
        <v>99</v>
      </c>
      <c r="EB22" s="30">
        <v>119</v>
      </c>
      <c r="EC22" s="30">
        <v>115</v>
      </c>
      <c r="ED22" s="30">
        <v>118</v>
      </c>
      <c r="EE22" s="30">
        <v>120</v>
      </c>
      <c r="EF22" s="30">
        <v>117</v>
      </c>
      <c r="EG22" s="26">
        <v>16</v>
      </c>
      <c r="EH22" s="31">
        <v>118</v>
      </c>
      <c r="EI22" s="31">
        <v>123</v>
      </c>
      <c r="EJ22" s="31">
        <v>117</v>
      </c>
      <c r="EK22" s="31">
        <v>100</v>
      </c>
      <c r="EL22" s="31">
        <v>120</v>
      </c>
      <c r="EM22" s="31">
        <v>115</v>
      </c>
      <c r="EN22" s="31">
        <v>120</v>
      </c>
      <c r="EO22" s="31">
        <v>122</v>
      </c>
      <c r="EP22" s="31">
        <v>118</v>
      </c>
      <c r="EQ22" s="26">
        <v>16</v>
      </c>
      <c r="ER22" s="27">
        <v>122</v>
      </c>
      <c r="ES22" s="27">
        <v>126</v>
      </c>
      <c r="ET22" s="27">
        <v>119</v>
      </c>
      <c r="EU22" s="27">
        <v>100</v>
      </c>
      <c r="EV22" s="27">
        <v>121</v>
      </c>
      <c r="EW22" s="27">
        <v>116</v>
      </c>
      <c r="EX22" s="27">
        <v>122</v>
      </c>
      <c r="EY22" s="27">
        <v>123</v>
      </c>
      <c r="EZ22" s="27">
        <v>120</v>
      </c>
    </row>
    <row r="23" spans="2:156" ht="14.5">
      <c r="B23" s="66">
        <v>6</v>
      </c>
      <c r="C23" s="125"/>
      <c r="E23" s="66">
        <v>26</v>
      </c>
      <c r="F23" s="125"/>
      <c r="H23" s="66">
        <v>46</v>
      </c>
      <c r="I23" s="125"/>
      <c r="K23" s="66">
        <v>66</v>
      </c>
      <c r="L23" s="8" t="s">
        <v>311</v>
      </c>
      <c r="N23" s="66">
        <v>82</v>
      </c>
      <c r="O23" s="125"/>
      <c r="R23" s="44"/>
      <c r="S23" s="55" t="s">
        <v>10</v>
      </c>
      <c r="T23" s="56" t="s">
        <v>1</v>
      </c>
      <c r="U23" s="177" t="str">
        <f t="shared" si="0"/>
        <v>Rekrutmen</v>
      </c>
      <c r="V23" s="177"/>
      <c r="W23" s="177"/>
      <c r="X23" s="177"/>
      <c r="Y23" s="46"/>
      <c r="AA23" s="26">
        <v>17</v>
      </c>
      <c r="AB23" s="22">
        <v>138</v>
      </c>
      <c r="AC23" s="22">
        <v>137</v>
      </c>
      <c r="AD23" s="22">
        <v>140</v>
      </c>
      <c r="AE23" s="22">
        <v>122</v>
      </c>
      <c r="AF23" s="22">
        <v>140</v>
      </c>
      <c r="AG23" s="22">
        <v>137</v>
      </c>
      <c r="AH23" s="22">
        <v>132</v>
      </c>
      <c r="AI23" s="22">
        <v>133</v>
      </c>
      <c r="AJ23" s="22">
        <v>131</v>
      </c>
      <c r="AK23" s="26">
        <v>17</v>
      </c>
      <c r="AL23" s="27">
        <v>137</v>
      </c>
      <c r="AM23" s="27">
        <v>134</v>
      </c>
      <c r="AN23" s="27">
        <v>137</v>
      </c>
      <c r="AO23" s="27">
        <v>119</v>
      </c>
      <c r="AP23" s="27">
        <v>137</v>
      </c>
      <c r="AQ23" s="27">
        <v>133</v>
      </c>
      <c r="AR23" s="27">
        <v>129</v>
      </c>
      <c r="AS23" s="27">
        <v>132</v>
      </c>
      <c r="AT23" s="27">
        <v>129</v>
      </c>
      <c r="AU23" s="26">
        <v>17</v>
      </c>
      <c r="AV23" s="28">
        <v>131</v>
      </c>
      <c r="AW23" s="28">
        <v>131</v>
      </c>
      <c r="AX23" s="28">
        <v>133</v>
      </c>
      <c r="AY23" s="28">
        <v>112</v>
      </c>
      <c r="AZ23" s="28">
        <v>130</v>
      </c>
      <c r="BA23" s="28">
        <v>129</v>
      </c>
      <c r="BB23" s="28">
        <v>124</v>
      </c>
      <c r="BC23" s="28">
        <v>130</v>
      </c>
      <c r="BD23" s="28">
        <v>120</v>
      </c>
      <c r="BE23" s="26">
        <v>17</v>
      </c>
      <c r="BF23" s="29">
        <v>125</v>
      </c>
      <c r="BG23" s="29">
        <v>128</v>
      </c>
      <c r="BH23" s="29">
        <v>126</v>
      </c>
      <c r="BI23" s="29">
        <v>107</v>
      </c>
      <c r="BJ23" s="29">
        <v>127</v>
      </c>
      <c r="BK23" s="29">
        <v>123</v>
      </c>
      <c r="BL23" s="29">
        <v>122</v>
      </c>
      <c r="BM23" s="29">
        <v>126</v>
      </c>
      <c r="BN23" s="29">
        <v>118</v>
      </c>
      <c r="BO23" s="26">
        <v>17</v>
      </c>
      <c r="BP23" s="30">
        <v>122</v>
      </c>
      <c r="BQ23" s="30">
        <v>128</v>
      </c>
      <c r="BR23" s="30">
        <v>122</v>
      </c>
      <c r="BS23" s="30">
        <v>105</v>
      </c>
      <c r="BT23" s="30">
        <v>125</v>
      </c>
      <c r="BU23" s="30">
        <v>121</v>
      </c>
      <c r="BV23" s="30">
        <v>121</v>
      </c>
      <c r="BW23" s="30">
        <v>124</v>
      </c>
      <c r="BX23" s="30">
        <v>116</v>
      </c>
      <c r="BY23" s="26">
        <v>17</v>
      </c>
      <c r="BZ23" s="31">
        <v>119</v>
      </c>
      <c r="CA23" s="31">
        <v>127</v>
      </c>
      <c r="CB23" s="31">
        <v>119</v>
      </c>
      <c r="CC23" s="31">
        <f>AVERAGE(CC22,CC24)</f>
        <v>103.5</v>
      </c>
      <c r="CD23" s="31">
        <v>124</v>
      </c>
      <c r="CE23" s="31">
        <v>119</v>
      </c>
      <c r="CF23" s="31">
        <v>121</v>
      </c>
      <c r="CG23" s="31">
        <v>123</v>
      </c>
      <c r="CH23" s="31">
        <v>113</v>
      </c>
      <c r="CI23" s="26">
        <v>17</v>
      </c>
      <c r="CJ23" s="22">
        <v>116</v>
      </c>
      <c r="CK23" s="22">
        <v>124</v>
      </c>
      <c r="CL23" s="22">
        <v>117</v>
      </c>
      <c r="CM23" s="22">
        <v>101</v>
      </c>
      <c r="CN23" s="22">
        <v>123</v>
      </c>
      <c r="CO23" s="22">
        <v>118</v>
      </c>
      <c r="CP23" s="22">
        <v>120</v>
      </c>
      <c r="CQ23" s="22">
        <v>123</v>
      </c>
      <c r="CR23" s="22">
        <v>113</v>
      </c>
      <c r="CS23" s="26">
        <v>17</v>
      </c>
      <c r="CT23" s="27">
        <v>116</v>
      </c>
      <c r="CU23" s="27">
        <v>124</v>
      </c>
      <c r="CV23" s="27">
        <v>116</v>
      </c>
      <c r="CW23" s="27">
        <v>100</v>
      </c>
      <c r="CX23" s="27">
        <v>121</v>
      </c>
      <c r="CY23" s="27">
        <v>117</v>
      </c>
      <c r="CZ23" s="27">
        <v>119</v>
      </c>
      <c r="DA23" s="27">
        <v>122</v>
      </c>
      <c r="DB23" s="27">
        <v>114</v>
      </c>
      <c r="DC23" s="26">
        <v>17</v>
      </c>
      <c r="DD23" s="28">
        <v>117</v>
      </c>
      <c r="DE23" s="28">
        <v>122</v>
      </c>
      <c r="DF23" s="28">
        <v>116</v>
      </c>
      <c r="DG23" s="28">
        <v>101</v>
      </c>
      <c r="DH23" s="28">
        <v>120</v>
      </c>
      <c r="DI23" s="28">
        <v>118</v>
      </c>
      <c r="DJ23" s="28">
        <v>120</v>
      </c>
      <c r="DK23" s="28">
        <v>123</v>
      </c>
      <c r="DL23" s="28">
        <v>116</v>
      </c>
      <c r="DM23" s="26">
        <v>17</v>
      </c>
      <c r="DN23" s="29">
        <v>116</v>
      </c>
      <c r="DO23" s="29">
        <v>123</v>
      </c>
      <c r="DP23" s="29">
        <v>116</v>
      </c>
      <c r="DQ23" s="29">
        <v>101</v>
      </c>
      <c r="DR23" s="29">
        <v>121</v>
      </c>
      <c r="DS23" s="29">
        <v>117</v>
      </c>
      <c r="DT23" s="29">
        <v>120</v>
      </c>
      <c r="DU23" s="29">
        <v>123</v>
      </c>
      <c r="DV23" s="29">
        <v>117</v>
      </c>
      <c r="DW23" s="26">
        <v>17</v>
      </c>
      <c r="DX23" s="30">
        <v>119</v>
      </c>
      <c r="DY23" s="30">
        <v>123</v>
      </c>
      <c r="DZ23" s="30">
        <v>117</v>
      </c>
      <c r="EA23" s="30">
        <v>101</v>
      </c>
      <c r="EB23" s="30">
        <v>122</v>
      </c>
      <c r="EC23" s="30">
        <v>117</v>
      </c>
      <c r="ED23" s="30">
        <v>120</v>
      </c>
      <c r="EE23" s="30">
        <v>123</v>
      </c>
      <c r="EF23" s="30">
        <v>120</v>
      </c>
      <c r="EG23" s="26">
        <v>17</v>
      </c>
      <c r="EH23" s="31">
        <v>121</v>
      </c>
      <c r="EI23" s="31">
        <v>126</v>
      </c>
      <c r="EJ23" s="31">
        <v>119</v>
      </c>
      <c r="EK23" s="31">
        <v>102</v>
      </c>
      <c r="EL23" s="31">
        <v>123</v>
      </c>
      <c r="EM23" s="31">
        <v>118</v>
      </c>
      <c r="EN23" s="31">
        <v>122</v>
      </c>
      <c r="EO23" s="31">
        <v>124</v>
      </c>
      <c r="EP23" s="31">
        <v>120</v>
      </c>
      <c r="EQ23" s="26">
        <v>17</v>
      </c>
      <c r="ER23" s="27">
        <v>125</v>
      </c>
      <c r="ES23" s="27">
        <v>129</v>
      </c>
      <c r="ET23" s="27">
        <v>121</v>
      </c>
      <c r="EU23" s="27">
        <v>102</v>
      </c>
      <c r="EV23" s="27">
        <v>125</v>
      </c>
      <c r="EW23" s="27">
        <v>118</v>
      </c>
      <c r="EX23" s="27">
        <v>125</v>
      </c>
      <c r="EY23" s="27">
        <v>125</v>
      </c>
      <c r="EZ23" s="27">
        <v>123</v>
      </c>
    </row>
    <row r="24" spans="2:156" ht="14.5">
      <c r="B24" s="66">
        <v>7</v>
      </c>
      <c r="C24" s="125"/>
      <c r="E24" s="66">
        <v>27</v>
      </c>
      <c r="F24" s="125"/>
      <c r="H24" s="66">
        <v>47</v>
      </c>
      <c r="I24" s="125"/>
      <c r="K24" s="66">
        <v>67</v>
      </c>
      <c r="L24" s="8" t="s">
        <v>311</v>
      </c>
      <c r="N24" s="66">
        <v>83</v>
      </c>
      <c r="O24" s="125"/>
      <c r="R24" s="44"/>
      <c r="S24" s="45"/>
      <c r="T24" s="45"/>
      <c r="U24" s="45"/>
      <c r="V24" s="45"/>
      <c r="W24" s="45"/>
      <c r="X24" s="45"/>
      <c r="Y24" s="46"/>
      <c r="AA24" s="26">
        <v>18</v>
      </c>
      <c r="AB24" s="22">
        <v>142</v>
      </c>
      <c r="AC24" s="22">
        <v>141</v>
      </c>
      <c r="AD24" s="22">
        <v>144</v>
      </c>
      <c r="AE24" s="22">
        <v>124</v>
      </c>
      <c r="AF24" s="22">
        <v>144</v>
      </c>
      <c r="AG24" s="22">
        <v>140</v>
      </c>
      <c r="AH24" s="22">
        <v>135</v>
      </c>
      <c r="AI24" s="22">
        <v>137</v>
      </c>
      <c r="AJ24" s="22">
        <v>134</v>
      </c>
      <c r="AK24" s="26">
        <v>18</v>
      </c>
      <c r="AL24" s="27">
        <v>141</v>
      </c>
      <c r="AM24" s="27">
        <v>138</v>
      </c>
      <c r="AN24" s="27">
        <v>140</v>
      </c>
      <c r="AO24" s="27">
        <v>121</v>
      </c>
      <c r="AP24" s="27">
        <v>140</v>
      </c>
      <c r="AQ24" s="27">
        <v>136</v>
      </c>
      <c r="AR24" s="27">
        <v>132</v>
      </c>
      <c r="AS24" s="27">
        <v>135</v>
      </c>
      <c r="AT24" s="27">
        <v>132</v>
      </c>
      <c r="AU24" s="26">
        <v>18</v>
      </c>
      <c r="AV24" s="28">
        <v>135</v>
      </c>
      <c r="AW24" s="28">
        <v>134</v>
      </c>
      <c r="AX24" s="28">
        <v>136</v>
      </c>
      <c r="AY24" s="28">
        <v>113</v>
      </c>
      <c r="AZ24" s="28">
        <v>133</v>
      </c>
      <c r="BA24" s="28">
        <v>132</v>
      </c>
      <c r="BB24" s="28">
        <v>127</v>
      </c>
      <c r="BC24" s="28">
        <v>133</v>
      </c>
      <c r="BD24" s="28">
        <v>123</v>
      </c>
      <c r="BE24" s="26">
        <v>18</v>
      </c>
      <c r="BF24" s="29">
        <v>128</v>
      </c>
      <c r="BG24" s="29">
        <v>132</v>
      </c>
      <c r="BH24" s="29">
        <v>129</v>
      </c>
      <c r="BI24" s="29">
        <v>108</v>
      </c>
      <c r="BJ24" s="29">
        <v>129</v>
      </c>
      <c r="BK24" s="29">
        <v>126</v>
      </c>
      <c r="BL24" s="29">
        <v>125</v>
      </c>
      <c r="BM24" s="29">
        <v>129</v>
      </c>
      <c r="BN24" s="29">
        <v>121</v>
      </c>
      <c r="BO24" s="26">
        <v>18</v>
      </c>
      <c r="BP24" s="30">
        <v>125</v>
      </c>
      <c r="BQ24" s="30">
        <v>131</v>
      </c>
      <c r="BR24" s="30">
        <v>124</v>
      </c>
      <c r="BS24" s="30">
        <v>106</v>
      </c>
      <c r="BT24" s="30">
        <v>127</v>
      </c>
      <c r="BU24" s="30">
        <v>124</v>
      </c>
      <c r="BV24" s="30">
        <v>125</v>
      </c>
      <c r="BW24" s="30">
        <v>127</v>
      </c>
      <c r="BX24" s="30">
        <v>119</v>
      </c>
      <c r="BY24" s="26">
        <v>18</v>
      </c>
      <c r="BZ24" s="31">
        <v>122</v>
      </c>
      <c r="CA24" s="31">
        <v>131</v>
      </c>
      <c r="CB24" s="31">
        <v>122</v>
      </c>
      <c r="CC24" s="31">
        <v>105</v>
      </c>
      <c r="CD24" s="31">
        <v>126</v>
      </c>
      <c r="CE24" s="31">
        <v>122</v>
      </c>
      <c r="CF24" s="31">
        <v>124</v>
      </c>
      <c r="CG24" s="31">
        <v>126</v>
      </c>
      <c r="CH24" s="31">
        <v>116</v>
      </c>
      <c r="CI24" s="26">
        <v>18</v>
      </c>
      <c r="CJ24" s="22">
        <v>119</v>
      </c>
      <c r="CK24" s="22">
        <v>127</v>
      </c>
      <c r="CL24" s="22">
        <v>120</v>
      </c>
      <c r="CM24" s="22">
        <v>102</v>
      </c>
      <c r="CN24" s="22">
        <v>126</v>
      </c>
      <c r="CO24" s="22">
        <v>120</v>
      </c>
      <c r="CP24" s="22">
        <v>122</v>
      </c>
      <c r="CQ24" s="22">
        <v>126</v>
      </c>
      <c r="CR24" s="22">
        <v>116</v>
      </c>
      <c r="CS24" s="26">
        <v>18</v>
      </c>
      <c r="CT24" s="27">
        <v>119</v>
      </c>
      <c r="CU24" s="27">
        <v>128</v>
      </c>
      <c r="CV24" s="27">
        <v>119</v>
      </c>
      <c r="CW24" s="27">
        <v>102</v>
      </c>
      <c r="CX24" s="27">
        <v>123</v>
      </c>
      <c r="CY24" s="27">
        <v>119</v>
      </c>
      <c r="CZ24" s="27">
        <v>121</v>
      </c>
      <c r="DA24" s="27">
        <v>125</v>
      </c>
      <c r="DB24" s="27">
        <v>116</v>
      </c>
      <c r="DC24" s="26">
        <v>18</v>
      </c>
      <c r="DD24" s="28">
        <v>120</v>
      </c>
      <c r="DE24" s="28">
        <v>125</v>
      </c>
      <c r="DF24" s="28">
        <v>119</v>
      </c>
      <c r="DG24" s="28">
        <v>102</v>
      </c>
      <c r="DH24" s="28">
        <v>123</v>
      </c>
      <c r="DI24" s="28">
        <v>120</v>
      </c>
      <c r="DJ24" s="28">
        <v>123</v>
      </c>
      <c r="DK24" s="28">
        <v>126</v>
      </c>
      <c r="DL24" s="28">
        <v>118</v>
      </c>
      <c r="DM24" s="26">
        <v>18</v>
      </c>
      <c r="DN24" s="29">
        <v>119</v>
      </c>
      <c r="DO24" s="29">
        <v>127</v>
      </c>
      <c r="DP24" s="29">
        <v>118</v>
      </c>
      <c r="DQ24" s="29">
        <v>102</v>
      </c>
      <c r="DR24" s="29">
        <v>124</v>
      </c>
      <c r="DS24" s="29">
        <v>120</v>
      </c>
      <c r="DT24" s="29">
        <v>123</v>
      </c>
      <c r="DU24" s="29">
        <v>126</v>
      </c>
      <c r="DV24" s="29">
        <v>119</v>
      </c>
      <c r="DW24" s="26">
        <v>18</v>
      </c>
      <c r="DX24" s="30">
        <v>121</v>
      </c>
      <c r="DY24" s="30">
        <v>126</v>
      </c>
      <c r="DZ24" s="30">
        <v>120</v>
      </c>
      <c r="EA24" s="30">
        <v>102</v>
      </c>
      <c r="EB24" s="30">
        <v>124</v>
      </c>
      <c r="EC24" s="30">
        <v>120</v>
      </c>
      <c r="ED24" s="30">
        <v>123</v>
      </c>
      <c r="EE24" s="30">
        <v>125</v>
      </c>
      <c r="EF24" s="30">
        <v>122</v>
      </c>
      <c r="EG24" s="26">
        <v>18</v>
      </c>
      <c r="EH24" s="31">
        <v>124</v>
      </c>
      <c r="EI24" s="31">
        <v>130</v>
      </c>
      <c r="EJ24" s="31">
        <v>121</v>
      </c>
      <c r="EK24" s="31">
        <v>103</v>
      </c>
      <c r="EL24" s="31">
        <v>125</v>
      </c>
      <c r="EM24" s="31">
        <v>120</v>
      </c>
      <c r="EN24" s="31">
        <v>125</v>
      </c>
      <c r="EO24" s="31">
        <v>127</v>
      </c>
      <c r="EP24" s="31">
        <v>122</v>
      </c>
      <c r="EQ24" s="26">
        <v>18</v>
      </c>
      <c r="ER24" s="27">
        <v>128</v>
      </c>
      <c r="ES24" s="27">
        <v>132</v>
      </c>
      <c r="ET24" s="27">
        <v>123</v>
      </c>
      <c r="EU24" s="27">
        <v>103</v>
      </c>
      <c r="EV24" s="27">
        <v>128</v>
      </c>
      <c r="EW24" s="27">
        <v>120</v>
      </c>
      <c r="EX24" s="27">
        <v>128</v>
      </c>
      <c r="EY24" s="27">
        <v>129</v>
      </c>
      <c r="EZ24" s="27">
        <v>125</v>
      </c>
    </row>
    <row r="25" spans="2:156" ht="14.5">
      <c r="B25" s="66">
        <v>8</v>
      </c>
      <c r="C25" s="125"/>
      <c r="E25" s="66">
        <v>28</v>
      </c>
      <c r="F25" s="125"/>
      <c r="H25" s="66">
        <v>48</v>
      </c>
      <c r="I25" s="125"/>
      <c r="K25" s="66">
        <v>68</v>
      </c>
      <c r="L25" s="8" t="s">
        <v>311</v>
      </c>
      <c r="N25" s="66">
        <v>84</v>
      </c>
      <c r="O25" s="125"/>
      <c r="R25" s="44"/>
      <c r="S25" s="45"/>
      <c r="T25" s="45"/>
      <c r="U25" s="45"/>
      <c r="V25" s="45"/>
      <c r="W25" s="45"/>
      <c r="X25" s="45"/>
      <c r="Y25" s="46"/>
      <c r="AA25" s="26">
        <v>19</v>
      </c>
      <c r="AB25" s="22">
        <v>146</v>
      </c>
      <c r="AC25" s="22">
        <v>145</v>
      </c>
      <c r="AD25" s="22">
        <v>148</v>
      </c>
      <c r="AE25" s="22">
        <v>127</v>
      </c>
      <c r="AF25" s="22">
        <v>148</v>
      </c>
      <c r="AG25" s="22">
        <v>143</v>
      </c>
      <c r="AH25" s="22">
        <v>139</v>
      </c>
      <c r="AI25" s="22">
        <v>141</v>
      </c>
      <c r="AJ25" s="22">
        <v>138</v>
      </c>
      <c r="AK25" s="26">
        <v>19</v>
      </c>
      <c r="AL25" s="27">
        <v>145</v>
      </c>
      <c r="AM25" s="27">
        <v>142</v>
      </c>
      <c r="AN25" s="27">
        <v>144</v>
      </c>
      <c r="AO25" s="27">
        <v>124</v>
      </c>
      <c r="AP25" s="27">
        <v>144</v>
      </c>
      <c r="AQ25" s="27">
        <v>139</v>
      </c>
      <c r="AR25" s="27">
        <v>135</v>
      </c>
      <c r="AS25" s="27">
        <v>139</v>
      </c>
      <c r="AT25" s="27">
        <v>135</v>
      </c>
      <c r="AU25" s="26">
        <v>19</v>
      </c>
      <c r="AV25" s="28">
        <v>138</v>
      </c>
      <c r="AW25" s="28">
        <v>138</v>
      </c>
      <c r="AX25" s="28">
        <v>139</v>
      </c>
      <c r="AY25" s="28">
        <v>115</v>
      </c>
      <c r="AZ25" s="28">
        <v>136</v>
      </c>
      <c r="BA25" s="28">
        <v>135</v>
      </c>
      <c r="BB25" s="28">
        <v>130</v>
      </c>
      <c r="BC25" s="28">
        <v>136</v>
      </c>
      <c r="BD25" s="28">
        <v>126</v>
      </c>
      <c r="BE25" s="26">
        <v>19</v>
      </c>
      <c r="BF25" s="29">
        <v>131</v>
      </c>
      <c r="BG25" s="29">
        <v>136</v>
      </c>
      <c r="BH25" s="29">
        <v>132</v>
      </c>
      <c r="BI25" s="29">
        <v>110</v>
      </c>
      <c r="BJ25" s="29">
        <v>133</v>
      </c>
      <c r="BK25" s="29">
        <v>129</v>
      </c>
      <c r="BL25" s="29">
        <v>127</v>
      </c>
      <c r="BM25" s="29">
        <v>132</v>
      </c>
      <c r="BN25" s="29">
        <v>124</v>
      </c>
      <c r="BO25" s="26">
        <v>19</v>
      </c>
      <c r="BP25" s="30">
        <v>128</v>
      </c>
      <c r="BQ25" s="30">
        <v>135</v>
      </c>
      <c r="BR25" s="30">
        <v>127</v>
      </c>
      <c r="BS25" s="30">
        <v>108</v>
      </c>
      <c r="BT25" s="30">
        <v>130</v>
      </c>
      <c r="BU25" s="30">
        <v>126</v>
      </c>
      <c r="BV25" s="30">
        <v>127</v>
      </c>
      <c r="BW25" s="30">
        <v>130</v>
      </c>
      <c r="BX25" s="30">
        <v>121</v>
      </c>
      <c r="BY25" s="26">
        <v>19</v>
      </c>
      <c r="BZ25" s="31">
        <v>125</v>
      </c>
      <c r="CA25" s="31">
        <v>135</v>
      </c>
      <c r="CB25" s="31">
        <v>125</v>
      </c>
      <c r="CC25" s="31">
        <f>AVERAGE(CC24,CC26)</f>
        <v>106.5</v>
      </c>
      <c r="CD25" s="31">
        <v>129</v>
      </c>
      <c r="CE25" s="31">
        <v>124</v>
      </c>
      <c r="CF25" s="31">
        <v>127</v>
      </c>
      <c r="CG25" s="31">
        <v>129</v>
      </c>
      <c r="CH25" s="31">
        <v>118</v>
      </c>
      <c r="CI25" s="26">
        <v>19</v>
      </c>
      <c r="CJ25" s="22">
        <v>122</v>
      </c>
      <c r="CK25" s="22">
        <v>132</v>
      </c>
      <c r="CL25" s="22">
        <v>122</v>
      </c>
      <c r="CM25" s="22">
        <v>104</v>
      </c>
      <c r="CN25" s="22">
        <v>128</v>
      </c>
      <c r="CO25" s="22">
        <v>123</v>
      </c>
      <c r="CP25" s="22">
        <v>125</v>
      </c>
      <c r="CQ25" s="22">
        <v>128</v>
      </c>
      <c r="CR25" s="22">
        <v>118</v>
      </c>
      <c r="CS25" s="26">
        <v>19</v>
      </c>
      <c r="CT25" s="27">
        <v>123</v>
      </c>
      <c r="CU25" s="27">
        <v>131</v>
      </c>
      <c r="CV25" s="27">
        <v>121</v>
      </c>
      <c r="CW25" s="27">
        <v>104</v>
      </c>
      <c r="CX25" s="27">
        <v>126</v>
      </c>
      <c r="CY25" s="27">
        <v>121</v>
      </c>
      <c r="CZ25" s="27">
        <v>124</v>
      </c>
      <c r="DA25" s="27">
        <v>128</v>
      </c>
      <c r="DB25" s="27">
        <v>119</v>
      </c>
      <c r="DC25" s="26">
        <v>19</v>
      </c>
      <c r="DD25" s="28">
        <v>123</v>
      </c>
      <c r="DE25" s="28">
        <v>129</v>
      </c>
      <c r="DF25" s="28">
        <v>121</v>
      </c>
      <c r="DG25" s="28">
        <v>104</v>
      </c>
      <c r="DH25" s="28">
        <v>126</v>
      </c>
      <c r="DI25" s="28">
        <v>123</v>
      </c>
      <c r="DJ25" s="28">
        <v>126</v>
      </c>
      <c r="DK25" s="28">
        <v>130</v>
      </c>
      <c r="DL25" s="28">
        <v>120</v>
      </c>
      <c r="DM25" s="26">
        <v>19</v>
      </c>
      <c r="DN25" s="29">
        <v>122</v>
      </c>
      <c r="DO25" s="29">
        <v>130</v>
      </c>
      <c r="DP25" s="29">
        <v>120</v>
      </c>
      <c r="DQ25" s="29">
        <v>103</v>
      </c>
      <c r="DR25" s="29">
        <v>126</v>
      </c>
      <c r="DS25" s="29">
        <v>122</v>
      </c>
      <c r="DT25" s="29">
        <v>127</v>
      </c>
      <c r="DU25" s="29">
        <v>129</v>
      </c>
      <c r="DV25" s="29">
        <v>122</v>
      </c>
      <c r="DW25" s="26">
        <v>19</v>
      </c>
      <c r="DX25" s="30">
        <v>124</v>
      </c>
      <c r="DY25" s="30">
        <v>130</v>
      </c>
      <c r="DZ25" s="30">
        <v>122</v>
      </c>
      <c r="EA25" s="30">
        <v>104</v>
      </c>
      <c r="EB25" s="30">
        <v>127</v>
      </c>
      <c r="EC25" s="30">
        <v>122</v>
      </c>
      <c r="ED25" s="30">
        <v>126</v>
      </c>
      <c r="EE25" s="30">
        <v>128</v>
      </c>
      <c r="EF25" s="30">
        <v>124</v>
      </c>
      <c r="EG25" s="26">
        <v>19</v>
      </c>
      <c r="EH25" s="31">
        <v>127</v>
      </c>
      <c r="EI25" s="31">
        <v>133</v>
      </c>
      <c r="EJ25" s="31">
        <v>123</v>
      </c>
      <c r="EK25" s="31">
        <v>105</v>
      </c>
      <c r="EL25" s="31">
        <v>128</v>
      </c>
      <c r="EM25" s="31">
        <v>122</v>
      </c>
      <c r="EN25" s="31">
        <v>128</v>
      </c>
      <c r="EO25" s="31">
        <v>130</v>
      </c>
      <c r="EP25" s="31">
        <v>125</v>
      </c>
      <c r="EQ25" s="26">
        <v>19</v>
      </c>
      <c r="ER25" s="27">
        <v>131</v>
      </c>
      <c r="ES25" s="27">
        <v>135</v>
      </c>
      <c r="ET25" s="27">
        <v>126</v>
      </c>
      <c r="EU25" s="27">
        <v>105</v>
      </c>
      <c r="EV25" s="27">
        <v>131</v>
      </c>
      <c r="EW25" s="27">
        <v>123</v>
      </c>
      <c r="EX25" s="27">
        <v>131</v>
      </c>
      <c r="EY25" s="27">
        <v>131</v>
      </c>
      <c r="EZ25" s="27">
        <v>127</v>
      </c>
    </row>
    <row r="26" spans="2:156" ht="14.5">
      <c r="B26" s="66">
        <v>9</v>
      </c>
      <c r="C26" s="125"/>
      <c r="E26" s="66">
        <v>29</v>
      </c>
      <c r="F26" s="125"/>
      <c r="H26" s="66">
        <v>49</v>
      </c>
      <c r="I26" s="125"/>
      <c r="K26" s="66">
        <v>69</v>
      </c>
      <c r="L26" s="8" t="s">
        <v>311</v>
      </c>
      <c r="N26" s="66">
        <v>85</v>
      </c>
      <c r="O26" s="125"/>
      <c r="R26" s="44"/>
      <c r="S26" s="45"/>
      <c r="T26" s="51"/>
      <c r="U26" s="57" t="s">
        <v>2</v>
      </c>
      <c r="V26" s="57" t="s">
        <v>22</v>
      </c>
      <c r="W26" s="59" t="s">
        <v>64</v>
      </c>
      <c r="X26" s="45"/>
      <c r="Y26" s="46"/>
      <c r="AA26" s="26">
        <v>20</v>
      </c>
      <c r="AB26" s="22">
        <v>151</v>
      </c>
      <c r="AC26" s="22">
        <v>150</v>
      </c>
      <c r="AD26" s="22">
        <v>152</v>
      </c>
      <c r="AE26" s="22">
        <v>129</v>
      </c>
      <c r="AF26" s="22">
        <v>152</v>
      </c>
      <c r="AG26" s="22">
        <v>147</v>
      </c>
      <c r="AH26" s="22">
        <v>142</v>
      </c>
      <c r="AI26" s="22">
        <v>145</v>
      </c>
      <c r="AJ26" s="22">
        <v>141</v>
      </c>
      <c r="AK26" s="26">
        <v>20</v>
      </c>
      <c r="AL26" s="27">
        <v>149</v>
      </c>
      <c r="AM26" s="27">
        <v>146</v>
      </c>
      <c r="AN26" s="27">
        <v>147</v>
      </c>
      <c r="AO26" s="27">
        <v>126</v>
      </c>
      <c r="AP26" s="27">
        <v>147</v>
      </c>
      <c r="AQ26" s="27">
        <v>143</v>
      </c>
      <c r="AR26" s="27">
        <v>139</v>
      </c>
      <c r="AS26" s="27">
        <v>142</v>
      </c>
      <c r="AT26" s="27">
        <v>138</v>
      </c>
      <c r="AU26" s="26">
        <v>20</v>
      </c>
      <c r="AV26" s="28">
        <v>142</v>
      </c>
      <c r="AW26" s="28">
        <v>141</v>
      </c>
      <c r="AX26" s="28">
        <v>142</v>
      </c>
      <c r="AY26" s="28">
        <v>117</v>
      </c>
      <c r="AZ26" s="28">
        <v>140</v>
      </c>
      <c r="BA26" s="28">
        <v>138</v>
      </c>
      <c r="BB26" s="28">
        <v>133</v>
      </c>
      <c r="BC26" s="28">
        <v>140</v>
      </c>
      <c r="BD26" s="28">
        <v>128</v>
      </c>
      <c r="BE26" s="26">
        <v>20</v>
      </c>
      <c r="BF26" s="29">
        <v>134</v>
      </c>
      <c r="BG26" s="29">
        <v>139</v>
      </c>
      <c r="BH26" s="29">
        <v>135</v>
      </c>
      <c r="BI26" s="29">
        <v>111</v>
      </c>
      <c r="BJ26" s="29">
        <v>137</v>
      </c>
      <c r="BK26" s="29">
        <v>131</v>
      </c>
      <c r="BL26" s="29">
        <v>130</v>
      </c>
      <c r="BM26" s="29">
        <v>135</v>
      </c>
      <c r="BN26" s="29">
        <v>126</v>
      </c>
      <c r="BO26" s="26">
        <v>20</v>
      </c>
      <c r="BP26" s="30">
        <v>131</v>
      </c>
      <c r="BQ26" s="30">
        <v>139</v>
      </c>
      <c r="BR26" s="30">
        <v>130</v>
      </c>
      <c r="BS26" s="30">
        <v>110</v>
      </c>
      <c r="BT26" s="30">
        <v>134</v>
      </c>
      <c r="BU26" s="30">
        <v>129</v>
      </c>
      <c r="BV26" s="30">
        <v>130</v>
      </c>
      <c r="BW26" s="30">
        <v>133</v>
      </c>
      <c r="BX26" s="30">
        <v>123</v>
      </c>
      <c r="BY26" s="26">
        <v>20</v>
      </c>
      <c r="BZ26" s="31">
        <v>128</v>
      </c>
      <c r="CA26" s="31">
        <v>138</v>
      </c>
      <c r="CB26" s="31">
        <v>127</v>
      </c>
      <c r="CC26" s="31">
        <v>108</v>
      </c>
      <c r="CD26" s="31">
        <v>132</v>
      </c>
      <c r="CE26" s="31">
        <v>126</v>
      </c>
      <c r="CF26" s="31">
        <v>130</v>
      </c>
      <c r="CG26" s="31">
        <v>132</v>
      </c>
      <c r="CH26" s="31">
        <v>121</v>
      </c>
      <c r="CI26" s="26">
        <v>20</v>
      </c>
      <c r="CJ26" s="22">
        <v>124</v>
      </c>
      <c r="CK26" s="22">
        <v>135</v>
      </c>
      <c r="CL26" s="22">
        <v>125</v>
      </c>
      <c r="CM26" s="22">
        <v>106</v>
      </c>
      <c r="CN26" s="22">
        <v>131</v>
      </c>
      <c r="CO26" s="22">
        <v>125</v>
      </c>
      <c r="CP26" s="22">
        <v>128</v>
      </c>
      <c r="CQ26" s="22">
        <v>131</v>
      </c>
      <c r="CR26" s="22">
        <v>121</v>
      </c>
      <c r="CS26" s="26">
        <v>20</v>
      </c>
      <c r="CT26" s="27">
        <v>126</v>
      </c>
      <c r="CU26" s="27">
        <v>135</v>
      </c>
      <c r="CV26" s="27">
        <v>123</v>
      </c>
      <c r="CW26" s="27">
        <v>105</v>
      </c>
      <c r="CX26" s="27">
        <v>129</v>
      </c>
      <c r="CY26" s="27">
        <v>124</v>
      </c>
      <c r="CZ26" s="27">
        <v>127</v>
      </c>
      <c r="DA26" s="27">
        <v>131</v>
      </c>
      <c r="DB26" s="27">
        <v>121</v>
      </c>
      <c r="DC26" s="26">
        <v>20</v>
      </c>
      <c r="DD26" s="28">
        <v>126</v>
      </c>
      <c r="DE26" s="28">
        <v>132</v>
      </c>
      <c r="DF26" s="28">
        <v>123</v>
      </c>
      <c r="DG26" s="28">
        <v>105</v>
      </c>
      <c r="DH26" s="28">
        <v>130</v>
      </c>
      <c r="DI26" s="28">
        <v>127</v>
      </c>
      <c r="DJ26" s="28">
        <v>130</v>
      </c>
      <c r="DK26" s="28">
        <v>133</v>
      </c>
      <c r="DL26" s="28">
        <v>122</v>
      </c>
      <c r="DM26" s="26">
        <v>20</v>
      </c>
      <c r="DN26" s="29">
        <v>126</v>
      </c>
      <c r="DO26" s="29">
        <v>134</v>
      </c>
      <c r="DP26" s="29">
        <v>122</v>
      </c>
      <c r="DQ26" s="29">
        <v>104</v>
      </c>
      <c r="DR26" s="29">
        <v>129</v>
      </c>
      <c r="DS26" s="29">
        <v>124</v>
      </c>
      <c r="DT26" s="29">
        <v>128</v>
      </c>
      <c r="DU26" s="29">
        <v>131</v>
      </c>
      <c r="DV26" s="29">
        <v>124</v>
      </c>
      <c r="DW26" s="26">
        <v>20</v>
      </c>
      <c r="DX26" s="30">
        <v>128</v>
      </c>
      <c r="DY26" s="30">
        <v>133</v>
      </c>
      <c r="DZ26" s="30">
        <v>124</v>
      </c>
      <c r="EA26" s="30">
        <v>105</v>
      </c>
      <c r="EB26" s="30">
        <v>130</v>
      </c>
      <c r="EC26" s="30">
        <v>124</v>
      </c>
      <c r="ED26" s="30">
        <v>128</v>
      </c>
      <c r="EE26" s="30">
        <v>131</v>
      </c>
      <c r="EF26" s="30">
        <v>127</v>
      </c>
      <c r="EG26" s="26">
        <v>20</v>
      </c>
      <c r="EH26" s="31">
        <v>130</v>
      </c>
      <c r="EI26" s="31">
        <v>136</v>
      </c>
      <c r="EJ26" s="31">
        <v>126</v>
      </c>
      <c r="EK26" s="31">
        <v>106</v>
      </c>
      <c r="EL26" s="31">
        <v>131</v>
      </c>
      <c r="EM26" s="31">
        <v>125</v>
      </c>
      <c r="EN26" s="31">
        <v>130</v>
      </c>
      <c r="EO26" s="31">
        <v>133</v>
      </c>
      <c r="EP26" s="31">
        <v>127</v>
      </c>
      <c r="EQ26" s="26">
        <v>20</v>
      </c>
      <c r="ER26" s="27">
        <v>134</v>
      </c>
      <c r="ES26" s="27">
        <v>139</v>
      </c>
      <c r="ET26" s="27">
        <v>129</v>
      </c>
      <c r="EU26" s="27">
        <v>106</v>
      </c>
      <c r="EV26" s="27">
        <v>134</v>
      </c>
      <c r="EW26" s="27">
        <v>125</v>
      </c>
      <c r="EX26" s="27">
        <v>133</v>
      </c>
      <c r="EY26" s="27">
        <v>134</v>
      </c>
      <c r="EZ26" s="27">
        <v>130</v>
      </c>
    </row>
    <row r="27" spans="2:156" ht="14.5">
      <c r="B27" s="66">
        <v>10</v>
      </c>
      <c r="C27" s="125"/>
      <c r="E27" s="66">
        <v>30</v>
      </c>
      <c r="F27" s="125"/>
      <c r="H27" s="66">
        <v>50</v>
      </c>
      <c r="I27" s="125"/>
      <c r="K27" s="66">
        <v>70</v>
      </c>
      <c r="L27" s="8" t="s">
        <v>311</v>
      </c>
      <c r="N27" s="66">
        <v>86</v>
      </c>
      <c r="O27" s="125"/>
      <c r="R27" s="44"/>
      <c r="S27" s="45"/>
      <c r="T27" s="57" t="s">
        <v>4</v>
      </c>
      <c r="U27" s="60">
        <f>C93</f>
        <v>0</v>
      </c>
      <c r="V27" s="61">
        <f t="shared" ref="V27:V35" si="1">IF($D$8&lt;=20,AU45,AV45)</f>
        <v>65</v>
      </c>
      <c r="W27" s="63" t="str">
        <f t="shared" ref="W27:W35" si="2">IF(V27&lt;=80,"Sangat Rendah",IF(V27&lt;=94,"Rendah",IF(V27&lt;=99,"Sedang",IF(V27&lt;=104,"Cukup",IF(V27&lt;=118,"Tinggi","Sangat Tinggi")))))</f>
        <v>Sangat Rendah</v>
      </c>
      <c r="X27" s="45"/>
      <c r="Y27" s="46"/>
      <c r="AA27" s="26">
        <v>21</v>
      </c>
      <c r="AB27" s="24"/>
      <c r="AC27" s="24"/>
      <c r="AD27" s="24"/>
      <c r="AE27" s="22">
        <v>132</v>
      </c>
      <c r="AF27" s="24"/>
      <c r="AG27" s="24"/>
      <c r="AH27" s="24"/>
      <c r="AI27" s="24"/>
      <c r="AJ27" s="24"/>
      <c r="AK27" s="26">
        <v>21</v>
      </c>
      <c r="AL27" s="24"/>
      <c r="AM27" s="24"/>
      <c r="AN27" s="24"/>
      <c r="AO27" s="27">
        <v>128</v>
      </c>
      <c r="AP27" s="24"/>
      <c r="AQ27" s="24"/>
      <c r="AR27" s="24"/>
      <c r="AS27" s="24"/>
      <c r="AT27" s="24"/>
      <c r="AU27" s="26">
        <v>21</v>
      </c>
      <c r="AV27" s="24"/>
      <c r="AW27" s="24"/>
      <c r="AX27" s="24"/>
      <c r="AY27" s="28">
        <v>119</v>
      </c>
      <c r="AZ27" s="24"/>
      <c r="BA27" s="24"/>
      <c r="BB27" s="24"/>
      <c r="BC27" s="24"/>
      <c r="BD27" s="24"/>
      <c r="BE27" s="26">
        <v>21</v>
      </c>
      <c r="BF27" s="24"/>
      <c r="BG27" s="24"/>
      <c r="BH27" s="24"/>
      <c r="BI27" s="29">
        <v>113</v>
      </c>
      <c r="BJ27" s="24"/>
      <c r="BK27" s="24"/>
      <c r="BL27" s="24"/>
      <c r="BM27" s="24"/>
      <c r="BN27" s="24"/>
      <c r="BO27" s="26">
        <v>21</v>
      </c>
      <c r="BP27" s="24"/>
      <c r="BQ27" s="24"/>
      <c r="BR27" s="24"/>
      <c r="BS27" s="30">
        <v>112</v>
      </c>
      <c r="BT27" s="24"/>
      <c r="BU27" s="24"/>
      <c r="BV27" s="24"/>
      <c r="BW27" s="24"/>
      <c r="BX27" s="24"/>
      <c r="BY27" s="26">
        <v>21</v>
      </c>
      <c r="BZ27" s="24"/>
      <c r="CA27" s="24"/>
      <c r="CB27" s="24"/>
      <c r="CC27" s="31">
        <f>AVERAGE(CC26,CC28)</f>
        <v>109.5</v>
      </c>
      <c r="CD27" s="24"/>
      <c r="CE27" s="24"/>
      <c r="CF27" s="24"/>
      <c r="CG27" s="24"/>
      <c r="CH27" s="24"/>
      <c r="CI27" s="26">
        <v>21</v>
      </c>
      <c r="CJ27" s="24"/>
      <c r="CK27" s="24"/>
      <c r="CL27" s="24"/>
      <c r="CM27" s="22">
        <v>108</v>
      </c>
      <c r="CN27" s="24"/>
      <c r="CO27" s="24"/>
      <c r="CP27" s="24"/>
      <c r="CQ27" s="24"/>
      <c r="CR27" s="24"/>
      <c r="CS27" s="26">
        <v>21</v>
      </c>
      <c r="CT27" s="24"/>
      <c r="CU27" s="24"/>
      <c r="CV27" s="24"/>
      <c r="CW27" s="27">
        <v>107</v>
      </c>
      <c r="CX27" s="24"/>
      <c r="CY27" s="24"/>
      <c r="CZ27" s="24"/>
      <c r="DA27" s="24"/>
      <c r="DB27" s="24"/>
      <c r="DC27" s="26">
        <v>21</v>
      </c>
      <c r="DD27" s="24"/>
      <c r="DE27" s="24"/>
      <c r="DF27" s="24"/>
      <c r="DG27" s="28">
        <v>107</v>
      </c>
      <c r="DH27" s="24"/>
      <c r="DI27" s="24"/>
      <c r="DJ27" s="24"/>
      <c r="DK27" s="24"/>
      <c r="DL27" s="24"/>
      <c r="DM27" s="26">
        <v>21</v>
      </c>
      <c r="DN27" s="24"/>
      <c r="DO27" s="24"/>
      <c r="DP27" s="24"/>
      <c r="DQ27" s="29">
        <v>106</v>
      </c>
      <c r="DR27" s="24"/>
      <c r="DS27" s="24"/>
      <c r="DT27" s="24"/>
      <c r="DU27" s="24"/>
      <c r="DV27" s="24"/>
      <c r="DW27" s="26">
        <v>21</v>
      </c>
      <c r="DX27" s="24"/>
      <c r="DY27" s="24"/>
      <c r="DZ27" s="24"/>
      <c r="EA27" s="30">
        <v>107</v>
      </c>
      <c r="EB27" s="24"/>
      <c r="EC27" s="24"/>
      <c r="ED27" s="24"/>
      <c r="EE27" s="24"/>
      <c r="EF27" s="24"/>
      <c r="EG27" s="26">
        <v>21</v>
      </c>
      <c r="EH27" s="24"/>
      <c r="EI27" s="24"/>
      <c r="EJ27" s="24"/>
      <c r="EK27" s="31">
        <v>108</v>
      </c>
      <c r="EL27" s="24"/>
      <c r="EM27" s="24"/>
      <c r="EN27" s="24"/>
      <c r="EO27" s="24"/>
      <c r="EP27" s="24"/>
      <c r="EQ27" s="26">
        <v>21</v>
      </c>
      <c r="ER27" s="24"/>
      <c r="ES27" s="24"/>
      <c r="ET27" s="24"/>
      <c r="EU27" s="27">
        <v>108</v>
      </c>
      <c r="EV27" s="24"/>
      <c r="EW27" s="24"/>
      <c r="EX27" s="24"/>
      <c r="EY27" s="24"/>
      <c r="EZ27" s="24"/>
    </row>
    <row r="28" spans="2:156" ht="14.5">
      <c r="B28" s="66">
        <v>11</v>
      </c>
      <c r="C28" s="125"/>
      <c r="E28" s="66">
        <v>31</v>
      </c>
      <c r="F28" s="125"/>
      <c r="H28" s="66">
        <v>51</v>
      </c>
      <c r="I28" s="125"/>
      <c r="K28" s="66">
        <v>71</v>
      </c>
      <c r="L28" s="8" t="s">
        <v>311</v>
      </c>
      <c r="N28" s="66">
        <v>87</v>
      </c>
      <c r="O28" s="125"/>
      <c r="R28" s="44"/>
      <c r="S28" s="45"/>
      <c r="T28" s="57" t="s">
        <v>5</v>
      </c>
      <c r="U28" s="60">
        <f>F93</f>
        <v>0</v>
      </c>
      <c r="V28" s="61">
        <f t="shared" si="1"/>
        <v>65</v>
      </c>
      <c r="W28" s="63" t="str">
        <f t="shared" si="2"/>
        <v>Sangat Rendah</v>
      </c>
      <c r="X28" s="45"/>
      <c r="Y28" s="46"/>
      <c r="AA28" s="26">
        <v>22</v>
      </c>
      <c r="AB28" s="24"/>
      <c r="AC28" s="24"/>
      <c r="AD28" s="24"/>
      <c r="AE28" s="22">
        <v>134</v>
      </c>
      <c r="AF28" s="24"/>
      <c r="AG28" s="24"/>
      <c r="AH28" s="24"/>
      <c r="AI28" s="24"/>
      <c r="AJ28" s="24"/>
      <c r="AK28" s="26">
        <v>22</v>
      </c>
      <c r="AL28" s="24"/>
      <c r="AM28" s="24"/>
      <c r="AN28" s="24"/>
      <c r="AO28" s="27">
        <v>130</v>
      </c>
      <c r="AP28" s="24"/>
      <c r="AQ28" s="24"/>
      <c r="AR28" s="24"/>
      <c r="AS28" s="24"/>
      <c r="AT28" s="24"/>
      <c r="AU28" s="26">
        <v>22</v>
      </c>
      <c r="AV28" s="24"/>
      <c r="AW28" s="24"/>
      <c r="AX28" s="24"/>
      <c r="AY28" s="28">
        <v>120</v>
      </c>
      <c r="AZ28" s="24"/>
      <c r="BA28" s="24"/>
      <c r="BB28" s="24"/>
      <c r="BC28" s="24"/>
      <c r="BD28" s="24"/>
      <c r="BE28" s="26">
        <v>22</v>
      </c>
      <c r="BF28" s="24"/>
      <c r="BG28" s="24"/>
      <c r="BH28" s="24"/>
      <c r="BI28" s="29">
        <v>114</v>
      </c>
      <c r="BJ28" s="24"/>
      <c r="BK28" s="24"/>
      <c r="BL28" s="24"/>
      <c r="BM28" s="24"/>
      <c r="BN28" s="24"/>
      <c r="BO28" s="26">
        <v>22</v>
      </c>
      <c r="BP28" s="24"/>
      <c r="BQ28" s="24"/>
      <c r="BR28" s="24"/>
      <c r="BS28" s="30">
        <v>113</v>
      </c>
      <c r="BT28" s="24"/>
      <c r="BU28" s="24"/>
      <c r="BV28" s="24"/>
      <c r="BW28" s="24"/>
      <c r="BX28" s="24"/>
      <c r="BY28" s="26">
        <v>22</v>
      </c>
      <c r="BZ28" s="24"/>
      <c r="CA28" s="24"/>
      <c r="CB28" s="24"/>
      <c r="CC28" s="31">
        <v>111</v>
      </c>
      <c r="CD28" s="24"/>
      <c r="CE28" s="24"/>
      <c r="CF28" s="24"/>
      <c r="CG28" s="24"/>
      <c r="CH28" s="24"/>
      <c r="CI28" s="26">
        <v>22</v>
      </c>
      <c r="CJ28" s="24"/>
      <c r="CK28" s="24"/>
      <c r="CL28" s="24"/>
      <c r="CM28" s="22">
        <v>109</v>
      </c>
      <c r="CN28" s="24"/>
      <c r="CO28" s="24"/>
      <c r="CP28" s="24"/>
      <c r="CQ28" s="24"/>
      <c r="CR28" s="24"/>
      <c r="CS28" s="26">
        <v>22</v>
      </c>
      <c r="CT28" s="24"/>
      <c r="CU28" s="24"/>
      <c r="CV28" s="24"/>
      <c r="CW28" s="27">
        <v>108</v>
      </c>
      <c r="CX28" s="24"/>
      <c r="CY28" s="24"/>
      <c r="CZ28" s="24"/>
      <c r="DA28" s="24"/>
      <c r="DB28" s="24"/>
      <c r="DC28" s="26">
        <v>22</v>
      </c>
      <c r="DD28" s="24"/>
      <c r="DE28" s="24"/>
      <c r="DF28" s="24"/>
      <c r="DG28" s="28">
        <v>108</v>
      </c>
      <c r="DH28" s="24"/>
      <c r="DI28" s="24"/>
      <c r="DJ28" s="24"/>
      <c r="DK28" s="24"/>
      <c r="DL28" s="24"/>
      <c r="DM28" s="26">
        <v>22</v>
      </c>
      <c r="DN28" s="24"/>
      <c r="DO28" s="24"/>
      <c r="DP28" s="24"/>
      <c r="DQ28" s="29">
        <v>107</v>
      </c>
      <c r="DR28" s="24"/>
      <c r="DS28" s="24"/>
      <c r="DT28" s="24"/>
      <c r="DU28" s="24"/>
      <c r="DV28" s="24"/>
      <c r="DW28" s="26">
        <v>22</v>
      </c>
      <c r="DX28" s="24"/>
      <c r="DY28" s="24"/>
      <c r="DZ28" s="24"/>
      <c r="EA28" s="30">
        <v>108</v>
      </c>
      <c r="EB28" s="24"/>
      <c r="EC28" s="24"/>
      <c r="ED28" s="24"/>
      <c r="EE28" s="24"/>
      <c r="EF28" s="24"/>
      <c r="EG28" s="26">
        <v>22</v>
      </c>
      <c r="EH28" s="24"/>
      <c r="EI28" s="24"/>
      <c r="EJ28" s="24"/>
      <c r="EK28" s="31">
        <v>109</v>
      </c>
      <c r="EL28" s="24"/>
      <c r="EM28" s="24"/>
      <c r="EN28" s="24"/>
      <c r="EO28" s="24"/>
      <c r="EP28" s="24"/>
      <c r="EQ28" s="26">
        <v>22</v>
      </c>
      <c r="ER28" s="24"/>
      <c r="ES28" s="24"/>
      <c r="ET28" s="24"/>
      <c r="EU28" s="27">
        <v>109</v>
      </c>
      <c r="EV28" s="24"/>
      <c r="EW28" s="24"/>
      <c r="EX28" s="24"/>
      <c r="EY28" s="24"/>
      <c r="EZ28" s="24"/>
    </row>
    <row r="29" spans="2:156" ht="14.5">
      <c r="B29" s="66">
        <v>12</v>
      </c>
      <c r="C29" s="125"/>
      <c r="E29" s="66">
        <v>32</v>
      </c>
      <c r="F29" s="125"/>
      <c r="H29" s="66">
        <v>52</v>
      </c>
      <c r="I29" s="125"/>
      <c r="K29" s="66">
        <v>72</v>
      </c>
      <c r="L29" s="8" t="s">
        <v>311</v>
      </c>
      <c r="N29" s="66">
        <v>88</v>
      </c>
      <c r="O29" s="125"/>
      <c r="R29" s="44"/>
      <c r="S29" s="45"/>
      <c r="T29" s="57" t="s">
        <v>7</v>
      </c>
      <c r="U29" s="60">
        <f>I93</f>
        <v>0</v>
      </c>
      <c r="V29" s="61">
        <f t="shared" si="1"/>
        <v>77</v>
      </c>
      <c r="W29" s="63" t="str">
        <f t="shared" si="2"/>
        <v>Sangat Rendah</v>
      </c>
      <c r="X29" s="45"/>
      <c r="Y29" s="46"/>
      <c r="AA29" s="26">
        <v>23</v>
      </c>
      <c r="AB29" s="24"/>
      <c r="AC29" s="24"/>
      <c r="AD29" s="24"/>
      <c r="AE29" s="22">
        <v>136</v>
      </c>
      <c r="AF29" s="24"/>
      <c r="AG29" s="24"/>
      <c r="AH29" s="24"/>
      <c r="AI29" s="24"/>
      <c r="AJ29" s="24"/>
      <c r="AK29" s="26">
        <v>23</v>
      </c>
      <c r="AL29" s="24"/>
      <c r="AM29" s="24"/>
      <c r="AN29" s="24"/>
      <c r="AO29" s="27">
        <v>133</v>
      </c>
      <c r="AP29" s="24"/>
      <c r="AQ29" s="24"/>
      <c r="AR29" s="24"/>
      <c r="AS29" s="24"/>
      <c r="AT29" s="24"/>
      <c r="AU29" s="26">
        <v>23</v>
      </c>
      <c r="AV29" s="24"/>
      <c r="AW29" s="24"/>
      <c r="AX29" s="24"/>
      <c r="AY29" s="28">
        <v>122</v>
      </c>
      <c r="AZ29" s="24"/>
      <c r="BA29" s="24"/>
      <c r="BB29" s="24"/>
      <c r="BC29" s="24"/>
      <c r="BD29" s="24"/>
      <c r="BE29" s="26">
        <v>23</v>
      </c>
      <c r="BF29" s="24"/>
      <c r="BG29" s="24"/>
      <c r="BH29" s="24"/>
      <c r="BI29" s="29">
        <v>115</v>
      </c>
      <c r="BJ29" s="24"/>
      <c r="BK29" s="24"/>
      <c r="BL29" s="24"/>
      <c r="BM29" s="24"/>
      <c r="BN29" s="24"/>
      <c r="BO29" s="26">
        <v>23</v>
      </c>
      <c r="BP29" s="24"/>
      <c r="BQ29" s="24"/>
      <c r="BR29" s="24"/>
      <c r="BS29" s="30">
        <v>115</v>
      </c>
      <c r="BT29" s="24"/>
      <c r="BU29" s="24"/>
      <c r="BV29" s="24"/>
      <c r="BW29" s="24"/>
      <c r="BX29" s="24"/>
      <c r="BY29" s="26">
        <v>23</v>
      </c>
      <c r="BZ29" s="24"/>
      <c r="CA29" s="24"/>
      <c r="CB29" s="24"/>
      <c r="CC29" s="31">
        <f>AVERAGE(CC28,CC30)</f>
        <v>113</v>
      </c>
      <c r="CD29" s="24"/>
      <c r="CE29" s="24"/>
      <c r="CF29" s="24"/>
      <c r="CG29" s="24"/>
      <c r="CH29" s="24"/>
      <c r="CI29" s="26">
        <v>23</v>
      </c>
      <c r="CJ29" s="24"/>
      <c r="CK29" s="24"/>
      <c r="CL29" s="24"/>
      <c r="CM29" s="22">
        <v>111</v>
      </c>
      <c r="CN29" s="24"/>
      <c r="CO29" s="24"/>
      <c r="CP29" s="24"/>
      <c r="CQ29" s="24"/>
      <c r="CR29" s="24"/>
      <c r="CS29" s="26">
        <v>23</v>
      </c>
      <c r="CT29" s="24"/>
      <c r="CU29" s="24"/>
      <c r="CV29" s="24"/>
      <c r="CW29" s="27">
        <v>110</v>
      </c>
      <c r="CX29" s="24"/>
      <c r="CY29" s="24"/>
      <c r="CZ29" s="24"/>
      <c r="DA29" s="24"/>
      <c r="DB29" s="24"/>
      <c r="DC29" s="26">
        <v>23</v>
      </c>
      <c r="DD29" s="24"/>
      <c r="DE29" s="24"/>
      <c r="DF29" s="24"/>
      <c r="DG29" s="28">
        <v>110</v>
      </c>
      <c r="DH29" s="24"/>
      <c r="DI29" s="24"/>
      <c r="DJ29" s="24"/>
      <c r="DK29" s="24"/>
      <c r="DL29" s="24"/>
      <c r="DM29" s="26">
        <v>23</v>
      </c>
      <c r="DN29" s="24"/>
      <c r="DO29" s="24"/>
      <c r="DP29" s="24"/>
      <c r="DQ29" s="29">
        <v>109</v>
      </c>
      <c r="DR29" s="24"/>
      <c r="DS29" s="24"/>
      <c r="DT29" s="24"/>
      <c r="DU29" s="24"/>
      <c r="DV29" s="24"/>
      <c r="DW29" s="26">
        <v>23</v>
      </c>
      <c r="DX29" s="24"/>
      <c r="DY29" s="24"/>
      <c r="DZ29" s="24"/>
      <c r="EA29" s="30">
        <v>110</v>
      </c>
      <c r="EB29" s="24"/>
      <c r="EC29" s="24"/>
      <c r="ED29" s="24"/>
      <c r="EE29" s="24"/>
      <c r="EF29" s="24"/>
      <c r="EG29" s="26">
        <v>23</v>
      </c>
      <c r="EH29" s="24"/>
      <c r="EI29" s="24"/>
      <c r="EJ29" s="24"/>
      <c r="EK29" s="31">
        <v>111</v>
      </c>
      <c r="EL29" s="24"/>
      <c r="EM29" s="24"/>
      <c r="EN29" s="24"/>
      <c r="EO29" s="24"/>
      <c r="EP29" s="24"/>
      <c r="EQ29" s="26">
        <v>23</v>
      </c>
      <c r="ER29" s="24"/>
      <c r="ES29" s="24"/>
      <c r="ET29" s="24"/>
      <c r="EU29" s="27">
        <v>110</v>
      </c>
      <c r="EV29" s="24"/>
      <c r="EW29" s="24"/>
      <c r="EX29" s="24"/>
      <c r="EY29" s="24"/>
      <c r="EZ29" s="24"/>
    </row>
    <row r="30" spans="2:156" ht="14.5">
      <c r="B30" s="66">
        <v>13</v>
      </c>
      <c r="C30" s="125"/>
      <c r="E30" s="66">
        <v>33</v>
      </c>
      <c r="F30" s="125"/>
      <c r="H30" s="66">
        <v>53</v>
      </c>
      <c r="I30" s="125"/>
      <c r="K30" s="66">
        <v>73</v>
      </c>
      <c r="L30" s="8" t="s">
        <v>311</v>
      </c>
      <c r="N30" s="66">
        <v>89</v>
      </c>
      <c r="O30" s="125"/>
      <c r="R30" s="44"/>
      <c r="S30" s="45"/>
      <c r="T30" s="57" t="s">
        <v>9</v>
      </c>
      <c r="U30" s="60">
        <f>K89</f>
        <v>0</v>
      </c>
      <c r="V30" s="61">
        <f t="shared" si="1"/>
        <v>73</v>
      </c>
      <c r="W30" s="63" t="str">
        <f t="shared" si="2"/>
        <v>Sangat Rendah</v>
      </c>
      <c r="X30" s="47">
        <f>V30+V32</f>
        <v>145</v>
      </c>
      <c r="Y30" s="46"/>
      <c r="AA30" s="26">
        <v>24</v>
      </c>
      <c r="AB30" s="24"/>
      <c r="AC30" s="24"/>
      <c r="AD30" s="24"/>
      <c r="AE30" s="22">
        <v>138</v>
      </c>
      <c r="AF30" s="24"/>
      <c r="AG30" s="24"/>
      <c r="AH30" s="24"/>
      <c r="AI30" s="24"/>
      <c r="AJ30" s="24"/>
      <c r="AK30" s="26">
        <v>24</v>
      </c>
      <c r="AL30" s="24"/>
      <c r="AM30" s="24"/>
      <c r="AN30" s="24"/>
      <c r="AO30" s="27">
        <v>135</v>
      </c>
      <c r="AP30" s="24"/>
      <c r="AQ30" s="24"/>
      <c r="AR30" s="24"/>
      <c r="AS30" s="24"/>
      <c r="AT30" s="24"/>
      <c r="AU30" s="26">
        <v>24</v>
      </c>
      <c r="AV30" s="24"/>
      <c r="AW30" s="24"/>
      <c r="AX30" s="24"/>
      <c r="AY30" s="28">
        <v>123</v>
      </c>
      <c r="AZ30" s="24"/>
      <c r="BA30" s="24"/>
      <c r="BB30" s="24"/>
      <c r="BC30" s="24"/>
      <c r="BD30" s="24"/>
      <c r="BE30" s="26">
        <v>24</v>
      </c>
      <c r="BF30" s="24"/>
      <c r="BG30" s="24"/>
      <c r="BH30" s="24"/>
      <c r="BI30" s="29">
        <v>117</v>
      </c>
      <c r="BJ30" s="24"/>
      <c r="BK30" s="24"/>
      <c r="BL30" s="24"/>
      <c r="BM30" s="24"/>
      <c r="BN30" s="24"/>
      <c r="BO30" s="26">
        <v>24</v>
      </c>
      <c r="BP30" s="24"/>
      <c r="BQ30" s="24"/>
      <c r="BR30" s="24"/>
      <c r="BS30" s="30">
        <v>116</v>
      </c>
      <c r="BT30" s="24"/>
      <c r="BU30" s="24"/>
      <c r="BV30" s="24"/>
      <c r="BW30" s="24"/>
      <c r="BX30" s="24"/>
      <c r="BY30" s="26">
        <v>24</v>
      </c>
      <c r="BZ30" s="24"/>
      <c r="CA30" s="24"/>
      <c r="CB30" s="24"/>
      <c r="CC30" s="31">
        <v>115</v>
      </c>
      <c r="CD30" s="24"/>
      <c r="CE30" s="24"/>
      <c r="CF30" s="24"/>
      <c r="CG30" s="24"/>
      <c r="CH30" s="24"/>
      <c r="CI30" s="26">
        <v>24</v>
      </c>
      <c r="CJ30" s="24"/>
      <c r="CK30" s="24"/>
      <c r="CL30" s="24"/>
      <c r="CM30" s="22">
        <v>112</v>
      </c>
      <c r="CN30" s="24"/>
      <c r="CO30" s="24"/>
      <c r="CP30" s="24"/>
      <c r="CQ30" s="24"/>
      <c r="CR30" s="24"/>
      <c r="CS30" s="26">
        <v>24</v>
      </c>
      <c r="CT30" s="24"/>
      <c r="CU30" s="24"/>
      <c r="CV30" s="24"/>
      <c r="CW30" s="27">
        <v>111</v>
      </c>
      <c r="CX30" s="24"/>
      <c r="CY30" s="24"/>
      <c r="CZ30" s="24"/>
      <c r="DA30" s="24"/>
      <c r="DB30" s="24"/>
      <c r="DC30" s="26">
        <v>24</v>
      </c>
      <c r="DD30" s="24"/>
      <c r="DE30" s="24"/>
      <c r="DF30" s="24"/>
      <c r="DG30" s="28">
        <v>112</v>
      </c>
      <c r="DH30" s="24"/>
      <c r="DI30" s="24"/>
      <c r="DJ30" s="24"/>
      <c r="DK30" s="24"/>
      <c r="DL30" s="24"/>
      <c r="DM30" s="26">
        <v>24</v>
      </c>
      <c r="DN30" s="24"/>
      <c r="DO30" s="24"/>
      <c r="DP30" s="24"/>
      <c r="DQ30" s="29">
        <v>110</v>
      </c>
      <c r="DR30" s="24"/>
      <c r="DS30" s="24"/>
      <c r="DT30" s="24"/>
      <c r="DU30" s="24"/>
      <c r="DV30" s="24"/>
      <c r="DW30" s="26">
        <v>24</v>
      </c>
      <c r="DX30" s="24"/>
      <c r="DY30" s="24"/>
      <c r="DZ30" s="24"/>
      <c r="EA30" s="30">
        <v>111</v>
      </c>
      <c r="EB30" s="24"/>
      <c r="EC30" s="24"/>
      <c r="ED30" s="24"/>
      <c r="EE30" s="24"/>
      <c r="EF30" s="24"/>
      <c r="EG30" s="26">
        <v>24</v>
      </c>
      <c r="EH30" s="24"/>
      <c r="EI30" s="24"/>
      <c r="EJ30" s="24"/>
      <c r="EK30" s="31">
        <v>112</v>
      </c>
      <c r="EL30" s="24"/>
      <c r="EM30" s="24"/>
      <c r="EN30" s="24"/>
      <c r="EO30" s="24"/>
      <c r="EP30" s="24"/>
      <c r="EQ30" s="26">
        <v>24</v>
      </c>
      <c r="ER30" s="24"/>
      <c r="ES30" s="24"/>
      <c r="ET30" s="24"/>
      <c r="EU30" s="27">
        <v>111</v>
      </c>
      <c r="EV30" s="24"/>
      <c r="EW30" s="24"/>
      <c r="EX30" s="24"/>
      <c r="EY30" s="24"/>
      <c r="EZ30" s="24"/>
    </row>
    <row r="31" spans="2:156" ht="14.5">
      <c r="B31" s="66">
        <v>14</v>
      </c>
      <c r="C31" s="125"/>
      <c r="E31" s="66">
        <v>34</v>
      </c>
      <c r="F31" s="125"/>
      <c r="H31" s="66">
        <v>54</v>
      </c>
      <c r="I31" s="125"/>
      <c r="K31" s="66">
        <v>74</v>
      </c>
      <c r="L31" s="8" t="s">
        <v>311</v>
      </c>
      <c r="N31" s="66">
        <v>90</v>
      </c>
      <c r="O31" s="125"/>
      <c r="R31" s="44"/>
      <c r="S31" s="45"/>
      <c r="T31" s="57" t="s">
        <v>11</v>
      </c>
      <c r="U31" s="60">
        <f>L119</f>
        <v>0</v>
      </c>
      <c r="V31" s="61">
        <f t="shared" si="1"/>
        <v>77</v>
      </c>
      <c r="W31" s="63" t="str">
        <f t="shared" si="2"/>
        <v>Sangat Rendah</v>
      </c>
      <c r="X31" s="47">
        <f>V29+V33</f>
        <v>154</v>
      </c>
      <c r="Y31" s="46"/>
      <c r="AA31" s="26">
        <v>25</v>
      </c>
      <c r="AB31" s="24"/>
      <c r="AC31" s="24"/>
      <c r="AD31" s="24"/>
      <c r="AE31" s="22">
        <v>141</v>
      </c>
      <c r="AF31" s="24"/>
      <c r="AG31" s="24"/>
      <c r="AH31" s="24"/>
      <c r="AI31" s="24"/>
      <c r="AJ31" s="24"/>
      <c r="AK31" s="26">
        <v>25</v>
      </c>
      <c r="AL31" s="24"/>
      <c r="AM31" s="24"/>
      <c r="AN31" s="24"/>
      <c r="AO31" s="27">
        <v>138</v>
      </c>
      <c r="AP31" s="24"/>
      <c r="AQ31" s="24"/>
      <c r="AR31" s="24"/>
      <c r="AS31" s="24"/>
      <c r="AT31" s="24"/>
      <c r="AU31" s="26">
        <v>25</v>
      </c>
      <c r="AV31" s="24"/>
      <c r="AW31" s="24"/>
      <c r="AX31" s="24"/>
      <c r="AY31" s="28">
        <v>125</v>
      </c>
      <c r="AZ31" s="24"/>
      <c r="BA31" s="24"/>
      <c r="BB31" s="24"/>
      <c r="BC31" s="24"/>
      <c r="BD31" s="24"/>
      <c r="BE31" s="26">
        <v>25</v>
      </c>
      <c r="BF31" s="24"/>
      <c r="BG31" s="24"/>
      <c r="BH31" s="24"/>
      <c r="BI31" s="29">
        <v>119</v>
      </c>
      <c r="BJ31" s="24"/>
      <c r="BK31" s="24"/>
      <c r="BL31" s="24"/>
      <c r="BM31" s="24"/>
      <c r="BN31" s="24"/>
      <c r="BO31" s="26">
        <v>25</v>
      </c>
      <c r="BP31" s="24"/>
      <c r="BQ31" s="24"/>
      <c r="BR31" s="24"/>
      <c r="BS31" s="30">
        <v>118</v>
      </c>
      <c r="BT31" s="24"/>
      <c r="BU31" s="24"/>
      <c r="BV31" s="24"/>
      <c r="BW31" s="24"/>
      <c r="BX31" s="24"/>
      <c r="BY31" s="26">
        <v>25</v>
      </c>
      <c r="BZ31" s="24"/>
      <c r="CA31" s="24"/>
      <c r="CB31" s="24"/>
      <c r="CC31" s="31">
        <f>AVERAGE(CC30,CC32)</f>
        <v>116.5</v>
      </c>
      <c r="CD31" s="24"/>
      <c r="CE31" s="24"/>
      <c r="CF31" s="24"/>
      <c r="CG31" s="24"/>
      <c r="CH31" s="24"/>
      <c r="CI31" s="26">
        <v>25</v>
      </c>
      <c r="CJ31" s="24"/>
      <c r="CK31" s="24"/>
      <c r="CL31" s="24"/>
      <c r="CM31" s="22">
        <v>114</v>
      </c>
      <c r="CN31" s="24"/>
      <c r="CO31" s="24"/>
      <c r="CP31" s="24"/>
      <c r="CQ31" s="24"/>
      <c r="CR31" s="24"/>
      <c r="CS31" s="26">
        <v>25</v>
      </c>
      <c r="CT31" s="24"/>
      <c r="CU31" s="24"/>
      <c r="CV31" s="24"/>
      <c r="CW31" s="27">
        <v>113</v>
      </c>
      <c r="CX31" s="24"/>
      <c r="CY31" s="24"/>
      <c r="CZ31" s="24"/>
      <c r="DA31" s="24"/>
      <c r="DB31" s="24"/>
      <c r="DC31" s="26">
        <v>25</v>
      </c>
      <c r="DD31" s="24"/>
      <c r="DE31" s="24"/>
      <c r="DF31" s="24"/>
      <c r="DG31" s="28">
        <v>114</v>
      </c>
      <c r="DH31" s="24"/>
      <c r="DI31" s="24"/>
      <c r="DJ31" s="24"/>
      <c r="DK31" s="24"/>
      <c r="DL31" s="24"/>
      <c r="DM31" s="26">
        <v>25</v>
      </c>
      <c r="DN31" s="24"/>
      <c r="DO31" s="24"/>
      <c r="DP31" s="24"/>
      <c r="DQ31" s="29">
        <v>112</v>
      </c>
      <c r="DR31" s="24"/>
      <c r="DS31" s="24"/>
      <c r="DT31" s="24"/>
      <c r="DU31" s="24"/>
      <c r="DV31" s="24"/>
      <c r="DW31" s="26">
        <v>25</v>
      </c>
      <c r="DX31" s="24"/>
      <c r="DY31" s="24"/>
      <c r="DZ31" s="24"/>
      <c r="EA31" s="30">
        <v>113</v>
      </c>
      <c r="EB31" s="24"/>
      <c r="EC31" s="24"/>
      <c r="ED31" s="24"/>
      <c r="EE31" s="24"/>
      <c r="EF31" s="24"/>
      <c r="EG31" s="26">
        <v>25</v>
      </c>
      <c r="EH31" s="24"/>
      <c r="EI31" s="24"/>
      <c r="EJ31" s="24"/>
      <c r="EK31" s="31">
        <v>114</v>
      </c>
      <c r="EL31" s="24"/>
      <c r="EM31" s="24"/>
      <c r="EN31" s="24"/>
      <c r="EO31" s="24"/>
      <c r="EP31" s="24"/>
      <c r="EQ31" s="26">
        <v>25</v>
      </c>
      <c r="ER31" s="24"/>
      <c r="ES31" s="24"/>
      <c r="ET31" s="24"/>
      <c r="EU31" s="27">
        <v>113</v>
      </c>
      <c r="EV31" s="24"/>
      <c r="EW31" s="24"/>
      <c r="EX31" s="24"/>
      <c r="EY31" s="24"/>
      <c r="EZ31" s="24"/>
    </row>
    <row r="32" spans="2:156" ht="14.5">
      <c r="B32" s="66">
        <v>15</v>
      </c>
      <c r="C32" s="125"/>
      <c r="E32" s="66">
        <v>35</v>
      </c>
      <c r="F32" s="125"/>
      <c r="H32" s="66">
        <v>55</v>
      </c>
      <c r="I32" s="125"/>
      <c r="K32" s="66">
        <v>75</v>
      </c>
      <c r="L32" s="8" t="s">
        <v>311</v>
      </c>
      <c r="N32" s="66">
        <v>91</v>
      </c>
      <c r="O32" s="125"/>
      <c r="R32" s="44"/>
      <c r="S32" s="45"/>
      <c r="T32" s="57" t="s">
        <v>12</v>
      </c>
      <c r="U32" s="60">
        <f>O93</f>
        <v>0</v>
      </c>
      <c r="V32" s="61">
        <f t="shared" si="1"/>
        <v>72</v>
      </c>
      <c r="W32" s="63" t="str">
        <f t="shared" si="2"/>
        <v>Sangat Rendah</v>
      </c>
      <c r="X32" s="47">
        <f>IF(X30&gt;X31,X30-X31,X31-X30)</f>
        <v>9</v>
      </c>
      <c r="Y32" s="46"/>
      <c r="AA32" s="26">
        <v>26</v>
      </c>
      <c r="AB32" s="24"/>
      <c r="AC32" s="24"/>
      <c r="AD32" s="24"/>
      <c r="AE32" s="22">
        <v>144</v>
      </c>
      <c r="AF32" s="24"/>
      <c r="AG32" s="24"/>
      <c r="AH32" s="24"/>
      <c r="AI32" s="24"/>
      <c r="AJ32" s="24"/>
      <c r="AK32" s="26">
        <v>26</v>
      </c>
      <c r="AL32" s="24"/>
      <c r="AM32" s="24"/>
      <c r="AN32" s="24"/>
      <c r="AO32" s="27">
        <v>140</v>
      </c>
      <c r="AP32" s="24"/>
      <c r="AQ32" s="24"/>
      <c r="AR32" s="24"/>
      <c r="AS32" s="24"/>
      <c r="AT32" s="24"/>
      <c r="AU32" s="26">
        <v>26</v>
      </c>
      <c r="AV32" s="24"/>
      <c r="AW32" s="24"/>
      <c r="AX32" s="24"/>
      <c r="AY32" s="28">
        <v>127</v>
      </c>
      <c r="AZ32" s="24"/>
      <c r="BA32" s="24"/>
      <c r="BB32" s="24"/>
      <c r="BC32" s="24"/>
      <c r="BD32" s="24"/>
      <c r="BE32" s="26">
        <v>26</v>
      </c>
      <c r="BF32" s="24"/>
      <c r="BG32" s="24"/>
      <c r="BH32" s="24"/>
      <c r="BI32" s="29">
        <v>121</v>
      </c>
      <c r="BJ32" s="24"/>
      <c r="BK32" s="24"/>
      <c r="BL32" s="24"/>
      <c r="BM32" s="24"/>
      <c r="BN32" s="24"/>
      <c r="BO32" s="26">
        <v>26</v>
      </c>
      <c r="BP32" s="24"/>
      <c r="BQ32" s="24"/>
      <c r="BR32" s="24"/>
      <c r="BS32" s="30">
        <v>119</v>
      </c>
      <c r="BT32" s="24"/>
      <c r="BU32" s="24"/>
      <c r="BV32" s="24"/>
      <c r="BW32" s="24"/>
      <c r="BX32" s="24"/>
      <c r="BY32" s="26">
        <v>26</v>
      </c>
      <c r="BZ32" s="24"/>
      <c r="CA32" s="24"/>
      <c r="CB32" s="24"/>
      <c r="CC32" s="31">
        <v>118</v>
      </c>
      <c r="CD32" s="24"/>
      <c r="CE32" s="24"/>
      <c r="CF32" s="24"/>
      <c r="CG32" s="24"/>
      <c r="CH32" s="24"/>
      <c r="CI32" s="26">
        <v>26</v>
      </c>
      <c r="CJ32" s="24"/>
      <c r="CK32" s="24"/>
      <c r="CL32" s="24"/>
      <c r="CM32" s="22">
        <v>116</v>
      </c>
      <c r="CN32" s="24"/>
      <c r="CO32" s="24"/>
      <c r="CP32" s="24"/>
      <c r="CQ32" s="24"/>
      <c r="CR32" s="24"/>
      <c r="CS32" s="26">
        <v>26</v>
      </c>
      <c r="CT32" s="24"/>
      <c r="CU32" s="24"/>
      <c r="CV32" s="24"/>
      <c r="CW32" s="27">
        <v>114</v>
      </c>
      <c r="CX32" s="24"/>
      <c r="CY32" s="24"/>
      <c r="CZ32" s="24"/>
      <c r="DA32" s="24"/>
      <c r="DB32" s="24"/>
      <c r="DC32" s="26">
        <v>26</v>
      </c>
      <c r="DD32" s="24"/>
      <c r="DE32" s="24"/>
      <c r="DF32" s="24"/>
      <c r="DG32" s="28">
        <v>115</v>
      </c>
      <c r="DH32" s="24"/>
      <c r="DI32" s="24"/>
      <c r="DJ32" s="24"/>
      <c r="DK32" s="24"/>
      <c r="DL32" s="24"/>
      <c r="DM32" s="26">
        <v>26</v>
      </c>
      <c r="DN32" s="24"/>
      <c r="DO32" s="24"/>
      <c r="DP32" s="24"/>
      <c r="DQ32" s="29">
        <v>113</v>
      </c>
      <c r="DR32" s="24"/>
      <c r="DS32" s="24"/>
      <c r="DT32" s="24"/>
      <c r="DU32" s="24"/>
      <c r="DV32" s="24"/>
      <c r="DW32" s="26">
        <v>26</v>
      </c>
      <c r="DX32" s="24"/>
      <c r="DY32" s="24"/>
      <c r="DZ32" s="24"/>
      <c r="EA32" s="30">
        <v>114</v>
      </c>
      <c r="EB32" s="24"/>
      <c r="EC32" s="24"/>
      <c r="ED32" s="24"/>
      <c r="EE32" s="24"/>
      <c r="EF32" s="24"/>
      <c r="EG32" s="26">
        <v>26</v>
      </c>
      <c r="EH32" s="24"/>
      <c r="EI32" s="24"/>
      <c r="EJ32" s="24"/>
      <c r="EK32" s="31">
        <v>115</v>
      </c>
      <c r="EL32" s="24"/>
      <c r="EM32" s="24"/>
      <c r="EN32" s="24"/>
      <c r="EO32" s="24"/>
      <c r="EP32" s="24"/>
      <c r="EQ32" s="26">
        <v>26</v>
      </c>
      <c r="ER32" s="24"/>
      <c r="ES32" s="24"/>
      <c r="ET32" s="24"/>
      <c r="EU32" s="27">
        <v>115</v>
      </c>
      <c r="EV32" s="24"/>
      <c r="EW32" s="24"/>
      <c r="EX32" s="24"/>
      <c r="EY32" s="24"/>
      <c r="EZ32" s="24"/>
    </row>
    <row r="33" spans="2:156" ht="14.5">
      <c r="B33" s="66">
        <v>16</v>
      </c>
      <c r="C33" s="125"/>
      <c r="E33" s="66">
        <v>36</v>
      </c>
      <c r="F33" s="125"/>
      <c r="H33" s="66">
        <v>56</v>
      </c>
      <c r="I33" s="125"/>
      <c r="K33" s="66">
        <v>76</v>
      </c>
      <c r="L33" s="8" t="s">
        <v>311</v>
      </c>
      <c r="N33" s="66">
        <v>92</v>
      </c>
      <c r="O33" s="125"/>
      <c r="R33" s="44"/>
      <c r="S33" s="45"/>
      <c r="T33" s="57" t="s">
        <v>13</v>
      </c>
      <c r="U33" s="60">
        <f>C119</f>
        <v>0</v>
      </c>
      <c r="V33" s="61">
        <f t="shared" si="1"/>
        <v>77</v>
      </c>
      <c r="W33" s="63" t="str">
        <f t="shared" si="2"/>
        <v>Sangat Rendah</v>
      </c>
      <c r="X33" s="45"/>
      <c r="Y33" s="46"/>
      <c r="AA33" s="26">
        <v>27</v>
      </c>
      <c r="AB33" s="24"/>
      <c r="AC33" s="24"/>
      <c r="AD33" s="24"/>
      <c r="AE33" s="22">
        <v>147</v>
      </c>
      <c r="AF33" s="24"/>
      <c r="AG33" s="24"/>
      <c r="AH33" s="24"/>
      <c r="AI33" s="24"/>
      <c r="AJ33" s="24"/>
      <c r="AK33" s="26">
        <v>27</v>
      </c>
      <c r="AL33" s="24"/>
      <c r="AM33" s="24"/>
      <c r="AN33" s="24"/>
      <c r="AO33" s="27">
        <v>143</v>
      </c>
      <c r="AP33" s="24"/>
      <c r="AQ33" s="24"/>
      <c r="AR33" s="24"/>
      <c r="AS33" s="24"/>
      <c r="AT33" s="24"/>
      <c r="AU33" s="26">
        <v>27</v>
      </c>
      <c r="AV33" s="24"/>
      <c r="AW33" s="24"/>
      <c r="AX33" s="24"/>
      <c r="AY33" s="28">
        <v>129</v>
      </c>
      <c r="AZ33" s="24"/>
      <c r="BA33" s="24"/>
      <c r="BB33" s="24"/>
      <c r="BC33" s="24"/>
      <c r="BD33" s="24"/>
      <c r="BE33" s="26">
        <v>27</v>
      </c>
      <c r="BF33" s="24"/>
      <c r="BG33" s="24"/>
      <c r="BH33" s="24"/>
      <c r="BI33" s="29">
        <v>123</v>
      </c>
      <c r="BJ33" s="24"/>
      <c r="BK33" s="24"/>
      <c r="BL33" s="24"/>
      <c r="BM33" s="24"/>
      <c r="BN33" s="24"/>
      <c r="BO33" s="26">
        <v>27</v>
      </c>
      <c r="BP33" s="24"/>
      <c r="BQ33" s="24"/>
      <c r="BR33" s="24"/>
      <c r="BS33" s="30">
        <v>121</v>
      </c>
      <c r="BT33" s="24"/>
      <c r="BU33" s="24"/>
      <c r="BV33" s="24"/>
      <c r="BW33" s="24"/>
      <c r="BX33" s="24"/>
      <c r="BY33" s="26">
        <v>27</v>
      </c>
      <c r="BZ33" s="24"/>
      <c r="CA33" s="24"/>
      <c r="CB33" s="24"/>
      <c r="CC33" s="31">
        <f>AVERAGE(CC32,CC34)</f>
        <v>119.5</v>
      </c>
      <c r="CD33" s="24"/>
      <c r="CE33" s="24"/>
      <c r="CF33" s="24"/>
      <c r="CG33" s="24"/>
      <c r="CH33" s="24"/>
      <c r="CI33" s="26">
        <v>27</v>
      </c>
      <c r="CJ33" s="24"/>
      <c r="CK33" s="24"/>
      <c r="CL33" s="24"/>
      <c r="CM33" s="22">
        <v>118</v>
      </c>
      <c r="CN33" s="24"/>
      <c r="CO33" s="24"/>
      <c r="CP33" s="24"/>
      <c r="CQ33" s="24"/>
      <c r="CR33" s="24"/>
      <c r="CS33" s="26">
        <v>27</v>
      </c>
      <c r="CT33" s="24"/>
      <c r="CU33" s="24"/>
      <c r="CV33" s="24"/>
      <c r="CW33" s="27">
        <v>116</v>
      </c>
      <c r="CX33" s="24"/>
      <c r="CY33" s="24"/>
      <c r="CZ33" s="24"/>
      <c r="DA33" s="24"/>
      <c r="DB33" s="24"/>
      <c r="DC33" s="26">
        <v>27</v>
      </c>
      <c r="DD33" s="24"/>
      <c r="DE33" s="24"/>
      <c r="DF33" s="24"/>
      <c r="DG33" s="28">
        <v>117</v>
      </c>
      <c r="DH33" s="24"/>
      <c r="DI33" s="24"/>
      <c r="DJ33" s="24"/>
      <c r="DK33" s="24"/>
      <c r="DL33" s="24"/>
      <c r="DM33" s="26">
        <v>27</v>
      </c>
      <c r="DN33" s="24"/>
      <c r="DO33" s="24"/>
      <c r="DP33" s="24"/>
      <c r="DQ33" s="29">
        <v>115</v>
      </c>
      <c r="DR33" s="24"/>
      <c r="DS33" s="24"/>
      <c r="DT33" s="24"/>
      <c r="DU33" s="24"/>
      <c r="DV33" s="24"/>
      <c r="DW33" s="26">
        <v>27</v>
      </c>
      <c r="DX33" s="24"/>
      <c r="DY33" s="24"/>
      <c r="DZ33" s="24"/>
      <c r="EA33" s="30">
        <v>116</v>
      </c>
      <c r="EB33" s="24"/>
      <c r="EC33" s="24"/>
      <c r="ED33" s="24"/>
      <c r="EE33" s="24"/>
      <c r="EF33" s="24"/>
      <c r="EG33" s="26">
        <v>27</v>
      </c>
      <c r="EH33" s="24"/>
      <c r="EI33" s="24"/>
      <c r="EJ33" s="24"/>
      <c r="EK33" s="31">
        <v>117</v>
      </c>
      <c r="EL33" s="24"/>
      <c r="EM33" s="24"/>
      <c r="EN33" s="24"/>
      <c r="EO33" s="24"/>
      <c r="EP33" s="24"/>
      <c r="EQ33" s="26">
        <v>27</v>
      </c>
      <c r="ER33" s="24"/>
      <c r="ES33" s="24"/>
      <c r="ET33" s="24"/>
      <c r="EU33" s="27">
        <v>117</v>
      </c>
      <c r="EV33" s="24"/>
      <c r="EW33" s="24"/>
      <c r="EX33" s="24"/>
      <c r="EY33" s="24"/>
      <c r="EZ33" s="24"/>
    </row>
    <row r="34" spans="2:156" ht="14.5">
      <c r="B34" s="66">
        <v>17</v>
      </c>
      <c r="C34" s="125"/>
      <c r="E34" s="66">
        <v>37</v>
      </c>
      <c r="F34" s="125"/>
      <c r="H34" s="66">
        <v>57</v>
      </c>
      <c r="I34" s="125"/>
      <c r="N34" s="66">
        <v>93</v>
      </c>
      <c r="O34" s="125"/>
      <c r="R34" s="44"/>
      <c r="S34" s="45"/>
      <c r="T34" s="57" t="s">
        <v>14</v>
      </c>
      <c r="U34" s="60">
        <f>F119</f>
        <v>0</v>
      </c>
      <c r="V34" s="61">
        <f t="shared" si="1"/>
        <v>74</v>
      </c>
      <c r="W34" s="63" t="str">
        <f t="shared" si="2"/>
        <v>Sangat Rendah</v>
      </c>
      <c r="X34" s="45"/>
      <c r="Y34" s="46"/>
      <c r="AA34" s="26">
        <v>28</v>
      </c>
      <c r="AB34" s="24"/>
      <c r="AC34" s="24"/>
      <c r="AD34" s="24"/>
      <c r="AE34" s="22">
        <v>149</v>
      </c>
      <c r="AF34" s="24"/>
      <c r="AG34" s="24"/>
      <c r="AH34" s="24"/>
      <c r="AI34" s="24"/>
      <c r="AJ34" s="24"/>
      <c r="AK34" s="26">
        <v>28</v>
      </c>
      <c r="AL34" s="24"/>
      <c r="AM34" s="24"/>
      <c r="AN34" s="24"/>
      <c r="AO34" s="27">
        <v>146</v>
      </c>
      <c r="AP34" s="24"/>
      <c r="AQ34" s="24"/>
      <c r="AR34" s="24"/>
      <c r="AS34" s="24"/>
      <c r="AT34" s="24"/>
      <c r="AU34" s="26">
        <v>28</v>
      </c>
      <c r="AV34" s="24"/>
      <c r="AW34" s="24"/>
      <c r="AX34" s="24"/>
      <c r="AY34" s="28">
        <v>130</v>
      </c>
      <c r="AZ34" s="24"/>
      <c r="BA34" s="24"/>
      <c r="BB34" s="24"/>
      <c r="BC34" s="24"/>
      <c r="BD34" s="24"/>
      <c r="BE34" s="26">
        <v>28</v>
      </c>
      <c r="BF34" s="24"/>
      <c r="BG34" s="24"/>
      <c r="BH34" s="24"/>
      <c r="BI34" s="29">
        <v>124</v>
      </c>
      <c r="BJ34" s="24"/>
      <c r="BK34" s="24"/>
      <c r="BL34" s="24"/>
      <c r="BM34" s="24"/>
      <c r="BN34" s="24"/>
      <c r="BO34" s="26">
        <v>28</v>
      </c>
      <c r="BP34" s="24"/>
      <c r="BQ34" s="24"/>
      <c r="BR34" s="24"/>
      <c r="BS34" s="30">
        <v>122</v>
      </c>
      <c r="BT34" s="24"/>
      <c r="BU34" s="24"/>
      <c r="BV34" s="24"/>
      <c r="BW34" s="24"/>
      <c r="BX34" s="24"/>
      <c r="BY34" s="26">
        <v>28</v>
      </c>
      <c r="BZ34" s="24"/>
      <c r="CA34" s="24"/>
      <c r="CB34" s="24"/>
      <c r="CC34" s="31">
        <v>121</v>
      </c>
      <c r="CD34" s="24"/>
      <c r="CE34" s="24"/>
      <c r="CF34" s="24"/>
      <c r="CG34" s="24"/>
      <c r="CH34" s="24"/>
      <c r="CI34" s="26">
        <v>28</v>
      </c>
      <c r="CJ34" s="24"/>
      <c r="CK34" s="24"/>
      <c r="CL34" s="24"/>
      <c r="CM34" s="22">
        <v>119</v>
      </c>
      <c r="CN34" s="24"/>
      <c r="CO34" s="24"/>
      <c r="CP34" s="24"/>
      <c r="CQ34" s="24"/>
      <c r="CR34" s="24"/>
      <c r="CS34" s="26">
        <v>28</v>
      </c>
      <c r="CT34" s="24"/>
      <c r="CU34" s="24"/>
      <c r="CV34" s="24"/>
      <c r="CW34" s="27">
        <v>117</v>
      </c>
      <c r="CX34" s="24"/>
      <c r="CY34" s="24"/>
      <c r="CZ34" s="24"/>
      <c r="DA34" s="24"/>
      <c r="DB34" s="24"/>
      <c r="DC34" s="26">
        <v>28</v>
      </c>
      <c r="DD34" s="24"/>
      <c r="DE34" s="24"/>
      <c r="DF34" s="24"/>
      <c r="DG34" s="28">
        <v>118</v>
      </c>
      <c r="DH34" s="24"/>
      <c r="DI34" s="24"/>
      <c r="DJ34" s="24"/>
      <c r="DK34" s="24"/>
      <c r="DL34" s="24"/>
      <c r="DM34" s="26">
        <v>28</v>
      </c>
      <c r="DN34" s="24"/>
      <c r="DO34" s="24"/>
      <c r="DP34" s="24"/>
      <c r="DQ34" s="29">
        <v>116</v>
      </c>
      <c r="DR34" s="24"/>
      <c r="DS34" s="24"/>
      <c r="DT34" s="24"/>
      <c r="DU34" s="24"/>
      <c r="DV34" s="24"/>
      <c r="DW34" s="26">
        <v>28</v>
      </c>
      <c r="DX34" s="24"/>
      <c r="DY34" s="24"/>
      <c r="DZ34" s="24"/>
      <c r="EA34" s="30">
        <v>117</v>
      </c>
      <c r="EB34" s="24"/>
      <c r="EC34" s="24"/>
      <c r="ED34" s="24"/>
      <c r="EE34" s="24"/>
      <c r="EF34" s="24"/>
      <c r="EG34" s="26">
        <v>28</v>
      </c>
      <c r="EH34" s="24"/>
      <c r="EI34" s="24"/>
      <c r="EJ34" s="24"/>
      <c r="EK34" s="31">
        <v>118</v>
      </c>
      <c r="EL34" s="24"/>
      <c r="EM34" s="24"/>
      <c r="EN34" s="24"/>
      <c r="EO34" s="24"/>
      <c r="EP34" s="24"/>
      <c r="EQ34" s="26">
        <v>28</v>
      </c>
      <c r="ER34" s="24"/>
      <c r="ES34" s="24"/>
      <c r="ET34" s="24"/>
      <c r="EU34" s="27">
        <v>118</v>
      </c>
      <c r="EV34" s="24"/>
      <c r="EW34" s="24"/>
      <c r="EX34" s="24"/>
      <c r="EY34" s="24"/>
      <c r="EZ34" s="24"/>
    </row>
    <row r="35" spans="2:156" ht="14.5">
      <c r="B35" s="66">
        <v>18</v>
      </c>
      <c r="C35" s="125"/>
      <c r="E35" s="66">
        <v>38</v>
      </c>
      <c r="F35" s="125"/>
      <c r="H35" s="66">
        <v>58</v>
      </c>
      <c r="I35" s="125"/>
      <c r="N35" s="66">
        <v>94</v>
      </c>
      <c r="O35" s="125"/>
      <c r="R35" s="44"/>
      <c r="S35" s="45"/>
      <c r="T35" s="57" t="s">
        <v>15</v>
      </c>
      <c r="U35" s="60">
        <f>I119</f>
        <v>0</v>
      </c>
      <c r="V35" s="61">
        <f t="shared" si="1"/>
        <v>74</v>
      </c>
      <c r="W35" s="63" t="str">
        <f t="shared" si="2"/>
        <v>Sangat Rendah</v>
      </c>
      <c r="X35" s="45"/>
      <c r="Y35" s="46"/>
      <c r="AA35" s="26">
        <v>29</v>
      </c>
      <c r="AB35" s="24"/>
      <c r="AC35" s="24"/>
      <c r="AD35" s="24"/>
      <c r="AE35" s="22">
        <v>152</v>
      </c>
      <c r="AF35" s="24"/>
      <c r="AG35" s="24"/>
      <c r="AH35" s="24"/>
      <c r="AI35" s="24"/>
      <c r="AJ35" s="24"/>
      <c r="AK35" s="26">
        <v>29</v>
      </c>
      <c r="AL35" s="24"/>
      <c r="AM35" s="24"/>
      <c r="AN35" s="24"/>
      <c r="AO35" s="27">
        <v>148</v>
      </c>
      <c r="AP35" s="24"/>
      <c r="AQ35" s="24"/>
      <c r="AR35" s="24"/>
      <c r="AS35" s="24"/>
      <c r="AT35" s="24"/>
      <c r="AU35" s="26">
        <v>29</v>
      </c>
      <c r="AV35" s="24"/>
      <c r="AW35" s="24"/>
      <c r="AX35" s="24"/>
      <c r="AY35" s="28">
        <v>132</v>
      </c>
      <c r="AZ35" s="24"/>
      <c r="BA35" s="24"/>
      <c r="BB35" s="24"/>
      <c r="BC35" s="24"/>
      <c r="BD35" s="24"/>
      <c r="BE35" s="26">
        <v>29</v>
      </c>
      <c r="BF35" s="24"/>
      <c r="BG35" s="24"/>
      <c r="BH35" s="24"/>
      <c r="BI35" s="29">
        <v>126</v>
      </c>
      <c r="BJ35" s="24"/>
      <c r="BK35" s="24"/>
      <c r="BL35" s="24"/>
      <c r="BM35" s="24"/>
      <c r="BN35" s="24"/>
      <c r="BO35" s="26">
        <v>29</v>
      </c>
      <c r="BP35" s="24"/>
      <c r="BQ35" s="24"/>
      <c r="BR35" s="24"/>
      <c r="BS35" s="30">
        <v>124</v>
      </c>
      <c r="BT35" s="24"/>
      <c r="BU35" s="24"/>
      <c r="BV35" s="24"/>
      <c r="BW35" s="24"/>
      <c r="BX35" s="24"/>
      <c r="BY35" s="26">
        <v>29</v>
      </c>
      <c r="BZ35" s="24"/>
      <c r="CA35" s="24"/>
      <c r="CB35" s="24"/>
      <c r="CC35" s="31">
        <f>AVERAGE(CC34,CC36)</f>
        <v>123</v>
      </c>
      <c r="CD35" s="24"/>
      <c r="CE35" s="24"/>
      <c r="CF35" s="24"/>
      <c r="CG35" s="24"/>
      <c r="CH35" s="24"/>
      <c r="CI35" s="26">
        <v>29</v>
      </c>
      <c r="CJ35" s="24"/>
      <c r="CK35" s="24"/>
      <c r="CL35" s="24"/>
      <c r="CM35" s="22">
        <v>121</v>
      </c>
      <c r="CN35" s="24"/>
      <c r="CO35" s="24"/>
      <c r="CP35" s="24"/>
      <c r="CQ35" s="24"/>
      <c r="CR35" s="24"/>
      <c r="CS35" s="26">
        <v>29</v>
      </c>
      <c r="CT35" s="24"/>
      <c r="CU35" s="24"/>
      <c r="CV35" s="24"/>
      <c r="CW35" s="27">
        <v>119</v>
      </c>
      <c r="CX35" s="24"/>
      <c r="CY35" s="24"/>
      <c r="CZ35" s="24"/>
      <c r="DA35" s="24"/>
      <c r="DB35" s="24"/>
      <c r="DC35" s="26">
        <v>29</v>
      </c>
      <c r="DD35" s="24"/>
      <c r="DE35" s="24"/>
      <c r="DF35" s="24"/>
      <c r="DG35" s="28">
        <v>120</v>
      </c>
      <c r="DH35" s="24"/>
      <c r="DI35" s="24"/>
      <c r="DJ35" s="24"/>
      <c r="DK35" s="24"/>
      <c r="DL35" s="24"/>
      <c r="DM35" s="26">
        <v>29</v>
      </c>
      <c r="DN35" s="24"/>
      <c r="DO35" s="24"/>
      <c r="DP35" s="24"/>
      <c r="DQ35" s="29">
        <v>118</v>
      </c>
      <c r="DR35" s="24"/>
      <c r="DS35" s="24"/>
      <c r="DT35" s="24"/>
      <c r="DU35" s="24"/>
      <c r="DV35" s="24"/>
      <c r="DW35" s="26">
        <v>29</v>
      </c>
      <c r="DX35" s="24"/>
      <c r="DY35" s="24"/>
      <c r="DZ35" s="24"/>
      <c r="EA35" s="30">
        <v>119</v>
      </c>
      <c r="EB35" s="24"/>
      <c r="EC35" s="24"/>
      <c r="ED35" s="24"/>
      <c r="EE35" s="24"/>
      <c r="EF35" s="24"/>
      <c r="EG35" s="26">
        <v>29</v>
      </c>
      <c r="EH35" s="24"/>
      <c r="EI35" s="24"/>
      <c r="EJ35" s="24"/>
      <c r="EK35" s="31">
        <v>120</v>
      </c>
      <c r="EL35" s="24"/>
      <c r="EM35" s="24"/>
      <c r="EN35" s="24"/>
      <c r="EO35" s="24"/>
      <c r="EP35" s="24"/>
      <c r="EQ35" s="26">
        <v>29</v>
      </c>
      <c r="ER35" s="24"/>
      <c r="ES35" s="24"/>
      <c r="ET35" s="24"/>
      <c r="EU35" s="27">
        <v>120</v>
      </c>
      <c r="EV35" s="24"/>
      <c r="EW35" s="24"/>
      <c r="EX35" s="24"/>
      <c r="EY35" s="24"/>
      <c r="EZ35" s="24"/>
    </row>
    <row r="36" spans="2:156" ht="14.5">
      <c r="B36" s="66">
        <v>19</v>
      </c>
      <c r="C36" s="125"/>
      <c r="E36" s="66">
        <v>39</v>
      </c>
      <c r="F36" s="125"/>
      <c r="H36" s="66">
        <v>59</v>
      </c>
      <c r="I36" s="125"/>
      <c r="N36" s="66">
        <v>95</v>
      </c>
      <c r="O36" s="125"/>
      <c r="R36" s="44"/>
      <c r="S36" s="45"/>
      <c r="T36" s="58" t="s">
        <v>16</v>
      </c>
      <c r="U36" s="17">
        <f>SUM(U27:U35)</f>
        <v>0</v>
      </c>
      <c r="V36" s="62">
        <f>AU54</f>
        <v>0</v>
      </c>
      <c r="W36" s="52"/>
      <c r="X36" s="45"/>
      <c r="Y36" s="46"/>
      <c r="AA36" s="26">
        <v>30</v>
      </c>
      <c r="AB36" s="24"/>
      <c r="AC36" s="24"/>
      <c r="AD36" s="24"/>
      <c r="AE36" s="22">
        <v>154</v>
      </c>
      <c r="AF36" s="24"/>
      <c r="AG36" s="24"/>
      <c r="AH36" s="24"/>
      <c r="AI36" s="24"/>
      <c r="AJ36" s="24"/>
      <c r="AK36" s="26">
        <v>30</v>
      </c>
      <c r="AL36" s="24"/>
      <c r="AM36" s="24"/>
      <c r="AN36" s="24"/>
      <c r="AO36" s="27">
        <v>149</v>
      </c>
      <c r="AP36" s="24"/>
      <c r="AQ36" s="24"/>
      <c r="AR36" s="24"/>
      <c r="AS36" s="24"/>
      <c r="AT36" s="24"/>
      <c r="AU36" s="26">
        <v>30</v>
      </c>
      <c r="AV36" s="24"/>
      <c r="AW36" s="24"/>
      <c r="AX36" s="24"/>
      <c r="AY36" s="28">
        <v>134</v>
      </c>
      <c r="AZ36" s="24"/>
      <c r="BA36" s="24"/>
      <c r="BB36" s="24"/>
      <c r="BC36" s="24"/>
      <c r="BD36" s="24"/>
      <c r="BE36" s="26">
        <v>30</v>
      </c>
      <c r="BF36" s="24"/>
      <c r="BG36" s="24"/>
      <c r="BH36" s="24"/>
      <c r="BI36" s="29">
        <v>127</v>
      </c>
      <c r="BJ36" s="24"/>
      <c r="BK36" s="24"/>
      <c r="BL36" s="24"/>
      <c r="BM36" s="24"/>
      <c r="BN36" s="24"/>
      <c r="BO36" s="26">
        <v>30</v>
      </c>
      <c r="BP36" s="24"/>
      <c r="BQ36" s="24"/>
      <c r="BR36" s="24"/>
      <c r="BS36" s="30">
        <v>125</v>
      </c>
      <c r="BT36" s="24"/>
      <c r="BU36" s="24"/>
      <c r="BV36" s="24"/>
      <c r="BW36" s="24"/>
      <c r="BX36" s="24"/>
      <c r="BY36" s="26">
        <v>30</v>
      </c>
      <c r="BZ36" s="24"/>
      <c r="CA36" s="24"/>
      <c r="CB36" s="24"/>
      <c r="CC36" s="31">
        <v>125</v>
      </c>
      <c r="CD36" s="24"/>
      <c r="CE36" s="24"/>
      <c r="CF36" s="24"/>
      <c r="CG36" s="24"/>
      <c r="CH36" s="24"/>
      <c r="CI36" s="26">
        <v>30</v>
      </c>
      <c r="CJ36" s="24"/>
      <c r="CK36" s="24"/>
      <c r="CL36" s="24"/>
      <c r="CM36" s="22">
        <v>122</v>
      </c>
      <c r="CN36" s="24"/>
      <c r="CO36" s="24"/>
      <c r="CP36" s="24"/>
      <c r="CQ36" s="24"/>
      <c r="CR36" s="24"/>
      <c r="CS36" s="26">
        <v>30</v>
      </c>
      <c r="CT36" s="24"/>
      <c r="CU36" s="24"/>
      <c r="CV36" s="24"/>
      <c r="CW36" s="27">
        <v>120</v>
      </c>
      <c r="CX36" s="24"/>
      <c r="CY36" s="24"/>
      <c r="CZ36" s="24"/>
      <c r="DA36" s="24"/>
      <c r="DB36" s="24"/>
      <c r="DC36" s="26">
        <v>30</v>
      </c>
      <c r="DD36" s="24"/>
      <c r="DE36" s="24"/>
      <c r="DF36" s="24"/>
      <c r="DG36" s="28">
        <v>122</v>
      </c>
      <c r="DH36" s="24"/>
      <c r="DI36" s="24"/>
      <c r="DJ36" s="24"/>
      <c r="DK36" s="24"/>
      <c r="DL36" s="24"/>
      <c r="DM36" s="26">
        <v>30</v>
      </c>
      <c r="DN36" s="24"/>
      <c r="DO36" s="24"/>
      <c r="DP36" s="24"/>
      <c r="DQ36" s="29">
        <v>120</v>
      </c>
      <c r="DR36" s="24"/>
      <c r="DS36" s="24"/>
      <c r="DT36" s="24"/>
      <c r="DU36" s="24"/>
      <c r="DV36" s="24"/>
      <c r="DW36" s="26">
        <v>30</v>
      </c>
      <c r="DX36" s="24"/>
      <c r="DY36" s="24"/>
      <c r="DZ36" s="24"/>
      <c r="EA36" s="30">
        <v>120</v>
      </c>
      <c r="EB36" s="24"/>
      <c r="EC36" s="24"/>
      <c r="ED36" s="24"/>
      <c r="EE36" s="24"/>
      <c r="EF36" s="24"/>
      <c r="EG36" s="26">
        <v>30</v>
      </c>
      <c r="EH36" s="24"/>
      <c r="EI36" s="24"/>
      <c r="EJ36" s="24"/>
      <c r="EK36" s="31">
        <v>121</v>
      </c>
      <c r="EL36" s="24"/>
      <c r="EM36" s="24"/>
      <c r="EN36" s="24"/>
      <c r="EO36" s="24"/>
      <c r="EP36" s="24"/>
      <c r="EQ36" s="26">
        <v>30</v>
      </c>
      <c r="ER36" s="24"/>
      <c r="ES36" s="24"/>
      <c r="ET36" s="24"/>
      <c r="EU36" s="27">
        <v>121</v>
      </c>
      <c r="EV36" s="24"/>
      <c r="EW36" s="24"/>
      <c r="EX36" s="24"/>
      <c r="EY36" s="24"/>
      <c r="EZ36" s="24"/>
    </row>
    <row r="37" spans="2:156" ht="14.5">
      <c r="B37" s="66">
        <v>20</v>
      </c>
      <c r="C37" s="125"/>
      <c r="E37" s="66">
        <v>40</v>
      </c>
      <c r="F37" s="125"/>
      <c r="H37" s="66">
        <v>60</v>
      </c>
      <c r="I37" s="125"/>
      <c r="N37" s="66">
        <v>96</v>
      </c>
      <c r="O37" s="125"/>
      <c r="R37" s="44"/>
      <c r="S37" s="45"/>
      <c r="T37" s="59" t="s">
        <v>65</v>
      </c>
      <c r="U37" s="159">
        <f>VLOOKUP(V36,AB46:AP226,15)</f>
        <v>0</v>
      </c>
      <c r="V37" s="159"/>
      <c r="W37" s="64" t="str">
        <f>IF(U37&lt;=65,"Mentally Defective",IF(U37&lt;=79,"Borderline Defective",IF(U37&lt;=90,"Low Average",IF(U37&lt;=110,"Average",IF(U37&lt;=119,"High Average",IF(U37&lt;=127,"Superior",IF(U37&lt;=139,"Very Superior","Genius")))))))</f>
        <v>Mentally Defective</v>
      </c>
      <c r="X37" s="45"/>
      <c r="Y37" s="46"/>
      <c r="AA37" s="26">
        <v>31</v>
      </c>
      <c r="AB37" s="24"/>
      <c r="AC37" s="24"/>
      <c r="AD37" s="24"/>
      <c r="AE37" s="22">
        <v>157</v>
      </c>
      <c r="AF37" s="24"/>
      <c r="AG37" s="24"/>
      <c r="AH37" s="24"/>
      <c r="AI37" s="24"/>
      <c r="AJ37" s="24"/>
      <c r="AK37" s="26">
        <v>31</v>
      </c>
      <c r="AL37" s="24"/>
      <c r="AM37" s="24"/>
      <c r="AN37" s="24"/>
      <c r="AO37" s="27">
        <v>152</v>
      </c>
      <c r="AP37" s="24"/>
      <c r="AQ37" s="24"/>
      <c r="AR37" s="24"/>
      <c r="AS37" s="24"/>
      <c r="AT37" s="24"/>
      <c r="AU37" s="26">
        <v>31</v>
      </c>
      <c r="AV37" s="24"/>
      <c r="AW37" s="24"/>
      <c r="AX37" s="24"/>
      <c r="AY37" s="28">
        <v>136</v>
      </c>
      <c r="AZ37" s="24"/>
      <c r="BA37" s="24"/>
      <c r="BB37" s="24"/>
      <c r="BC37" s="24"/>
      <c r="BD37" s="24"/>
      <c r="BE37" s="26">
        <v>31</v>
      </c>
      <c r="BF37" s="24"/>
      <c r="BG37" s="24"/>
      <c r="BH37" s="24"/>
      <c r="BI37" s="29">
        <v>129</v>
      </c>
      <c r="BJ37" s="24"/>
      <c r="BK37" s="24"/>
      <c r="BL37" s="24"/>
      <c r="BM37" s="24"/>
      <c r="BN37" s="24"/>
      <c r="BO37" s="26">
        <v>31</v>
      </c>
      <c r="BP37" s="24"/>
      <c r="BQ37" s="24"/>
      <c r="BR37" s="24"/>
      <c r="BS37" s="30">
        <v>127</v>
      </c>
      <c r="BT37" s="24"/>
      <c r="BU37" s="24"/>
      <c r="BV37" s="24"/>
      <c r="BW37" s="24"/>
      <c r="BX37" s="24"/>
      <c r="BY37" s="26">
        <v>31</v>
      </c>
      <c r="BZ37" s="24"/>
      <c r="CA37" s="24"/>
      <c r="CB37" s="24"/>
      <c r="CC37" s="31">
        <f>AVERAGE(CC36,CC38)</f>
        <v>126.5</v>
      </c>
      <c r="CD37" s="24"/>
      <c r="CE37" s="24"/>
      <c r="CF37" s="24"/>
      <c r="CG37" s="24"/>
      <c r="CH37" s="24"/>
      <c r="CI37" s="26">
        <v>31</v>
      </c>
      <c r="CJ37" s="24"/>
      <c r="CK37" s="24"/>
      <c r="CL37" s="24"/>
      <c r="CM37" s="22">
        <v>124</v>
      </c>
      <c r="CN37" s="24"/>
      <c r="CO37" s="24"/>
      <c r="CP37" s="24"/>
      <c r="CQ37" s="24"/>
      <c r="CR37" s="24"/>
      <c r="CS37" s="26">
        <v>31</v>
      </c>
      <c r="CT37" s="24"/>
      <c r="CU37" s="24"/>
      <c r="CV37" s="24"/>
      <c r="CW37" s="27">
        <v>122</v>
      </c>
      <c r="CX37" s="24"/>
      <c r="CY37" s="24"/>
      <c r="CZ37" s="24"/>
      <c r="DA37" s="24"/>
      <c r="DB37" s="24"/>
      <c r="DC37" s="26">
        <v>31</v>
      </c>
      <c r="DD37" s="24"/>
      <c r="DE37" s="24"/>
      <c r="DF37" s="24"/>
      <c r="DG37" s="28">
        <v>124</v>
      </c>
      <c r="DH37" s="24"/>
      <c r="DI37" s="24"/>
      <c r="DJ37" s="24"/>
      <c r="DK37" s="24"/>
      <c r="DL37" s="24"/>
      <c r="DM37" s="26">
        <v>31</v>
      </c>
      <c r="DN37" s="24"/>
      <c r="DO37" s="24"/>
      <c r="DP37" s="24"/>
      <c r="DQ37" s="29">
        <v>121</v>
      </c>
      <c r="DR37" s="24"/>
      <c r="DS37" s="24"/>
      <c r="DT37" s="24"/>
      <c r="DU37" s="24"/>
      <c r="DV37" s="24"/>
      <c r="DW37" s="26">
        <v>31</v>
      </c>
      <c r="DX37" s="24"/>
      <c r="DY37" s="24"/>
      <c r="DZ37" s="24"/>
      <c r="EA37" s="30">
        <v>122</v>
      </c>
      <c r="EB37" s="24"/>
      <c r="EC37" s="24"/>
      <c r="ED37" s="24"/>
      <c r="EE37" s="24"/>
      <c r="EF37" s="24"/>
      <c r="EG37" s="26">
        <v>31</v>
      </c>
      <c r="EH37" s="24"/>
      <c r="EI37" s="24"/>
      <c r="EJ37" s="24"/>
      <c r="EK37" s="31">
        <v>123</v>
      </c>
      <c r="EL37" s="24"/>
      <c r="EM37" s="24"/>
      <c r="EN37" s="24"/>
      <c r="EO37" s="24"/>
      <c r="EP37" s="24"/>
      <c r="EQ37" s="26">
        <v>31</v>
      </c>
      <c r="ER37" s="24"/>
      <c r="ES37" s="24"/>
      <c r="ET37" s="24"/>
      <c r="EU37" s="27">
        <v>123</v>
      </c>
      <c r="EV37" s="24"/>
      <c r="EW37" s="24"/>
      <c r="EX37" s="24"/>
      <c r="EY37" s="24"/>
      <c r="EZ37" s="24"/>
    </row>
    <row r="38" spans="2:156" ht="13">
      <c r="R38" s="44"/>
      <c r="S38" s="45"/>
      <c r="T38" s="158" t="s">
        <v>66</v>
      </c>
      <c r="U38" s="158"/>
      <c r="V38" s="158"/>
      <c r="W38" s="53" t="str">
        <f>IF(X32&lt;=10,"Seimbang",IF(X30&gt;X31,"Eksak",IF(X30&lt;X31,"Non Eksak")))</f>
        <v>Seimbang</v>
      </c>
      <c r="X38" s="45"/>
      <c r="Y38" s="46"/>
      <c r="AA38" s="26">
        <v>32</v>
      </c>
      <c r="AB38" s="24"/>
      <c r="AC38" s="24"/>
      <c r="AD38" s="24"/>
      <c r="AE38" s="22">
        <v>159</v>
      </c>
      <c r="AF38" s="24"/>
      <c r="AG38" s="24"/>
      <c r="AH38" s="24"/>
      <c r="AI38" s="24"/>
      <c r="AJ38" s="24"/>
      <c r="AK38" s="26">
        <v>32</v>
      </c>
      <c r="AL38" s="24"/>
      <c r="AM38" s="24"/>
      <c r="AN38" s="24"/>
      <c r="AO38" s="27">
        <v>154</v>
      </c>
      <c r="AP38" s="24"/>
      <c r="AQ38" s="24"/>
      <c r="AR38" s="24"/>
      <c r="AS38" s="24"/>
      <c r="AT38" s="24"/>
      <c r="AU38" s="26">
        <v>32</v>
      </c>
      <c r="AV38" s="24"/>
      <c r="AW38" s="24"/>
      <c r="AX38" s="24"/>
      <c r="AY38" s="28">
        <v>137</v>
      </c>
      <c r="AZ38" s="24"/>
      <c r="BA38" s="24"/>
      <c r="BB38" s="24"/>
      <c r="BC38" s="24"/>
      <c r="BD38" s="24"/>
      <c r="BE38" s="26">
        <v>32</v>
      </c>
      <c r="BF38" s="24"/>
      <c r="BG38" s="24"/>
      <c r="BH38" s="24"/>
      <c r="BI38" s="29">
        <v>130</v>
      </c>
      <c r="BJ38" s="24"/>
      <c r="BK38" s="24"/>
      <c r="BL38" s="24"/>
      <c r="BM38" s="24"/>
      <c r="BN38" s="24"/>
      <c r="BO38" s="26">
        <v>32</v>
      </c>
      <c r="BP38" s="24"/>
      <c r="BQ38" s="24"/>
      <c r="BR38" s="24"/>
      <c r="BS38" s="30">
        <v>129</v>
      </c>
      <c r="BT38" s="24"/>
      <c r="BU38" s="24"/>
      <c r="BV38" s="24"/>
      <c r="BW38" s="24"/>
      <c r="BX38" s="24"/>
      <c r="BY38" s="26">
        <v>32</v>
      </c>
      <c r="BZ38" s="24"/>
      <c r="CA38" s="24"/>
      <c r="CB38" s="24"/>
      <c r="CC38" s="31">
        <v>128</v>
      </c>
      <c r="CD38" s="24"/>
      <c r="CE38" s="24"/>
      <c r="CF38" s="24"/>
      <c r="CG38" s="24"/>
      <c r="CH38" s="24"/>
      <c r="CI38" s="26">
        <v>32</v>
      </c>
      <c r="CJ38" s="24"/>
      <c r="CK38" s="24"/>
      <c r="CL38" s="24"/>
      <c r="CM38" s="22">
        <v>126</v>
      </c>
      <c r="CN38" s="24"/>
      <c r="CO38" s="24"/>
      <c r="CP38" s="24"/>
      <c r="CQ38" s="24"/>
      <c r="CR38" s="24"/>
      <c r="CS38" s="26">
        <v>32</v>
      </c>
      <c r="CT38" s="24"/>
      <c r="CU38" s="24"/>
      <c r="CV38" s="24"/>
      <c r="CW38" s="27">
        <v>123</v>
      </c>
      <c r="CX38" s="24"/>
      <c r="CY38" s="24"/>
      <c r="CZ38" s="24"/>
      <c r="DA38" s="24"/>
      <c r="DB38" s="24"/>
      <c r="DC38" s="26">
        <v>32</v>
      </c>
      <c r="DD38" s="24"/>
      <c r="DE38" s="24"/>
      <c r="DF38" s="24"/>
      <c r="DG38" s="28">
        <v>125</v>
      </c>
      <c r="DH38" s="24"/>
      <c r="DI38" s="24"/>
      <c r="DJ38" s="24"/>
      <c r="DK38" s="24"/>
      <c r="DL38" s="24"/>
      <c r="DM38" s="26">
        <v>32</v>
      </c>
      <c r="DN38" s="24"/>
      <c r="DO38" s="24"/>
      <c r="DP38" s="24"/>
      <c r="DQ38" s="29">
        <v>122</v>
      </c>
      <c r="DR38" s="24"/>
      <c r="DS38" s="24"/>
      <c r="DT38" s="24"/>
      <c r="DU38" s="24"/>
      <c r="DV38" s="24"/>
      <c r="DW38" s="26">
        <v>32</v>
      </c>
      <c r="DX38" s="24"/>
      <c r="DY38" s="24"/>
      <c r="DZ38" s="24"/>
      <c r="EA38" s="30">
        <v>124</v>
      </c>
      <c r="EB38" s="24"/>
      <c r="EC38" s="24"/>
      <c r="ED38" s="24"/>
      <c r="EE38" s="24"/>
      <c r="EF38" s="24"/>
      <c r="EG38" s="26">
        <v>32</v>
      </c>
      <c r="EH38" s="24"/>
      <c r="EI38" s="24"/>
      <c r="EJ38" s="24"/>
      <c r="EK38" s="31">
        <v>124</v>
      </c>
      <c r="EL38" s="24"/>
      <c r="EM38" s="24"/>
      <c r="EN38" s="24"/>
      <c r="EO38" s="24"/>
      <c r="EP38" s="24"/>
      <c r="EQ38" s="26">
        <v>32</v>
      </c>
      <c r="ER38" s="24"/>
      <c r="ES38" s="24"/>
      <c r="ET38" s="24"/>
      <c r="EU38" s="27">
        <v>125</v>
      </c>
      <c r="EV38" s="24"/>
      <c r="EW38" s="24"/>
      <c r="EX38" s="24"/>
      <c r="EY38" s="24"/>
      <c r="EZ38" s="24"/>
    </row>
    <row r="39" spans="2:156">
      <c r="R39" s="44"/>
      <c r="S39" s="45"/>
      <c r="T39" s="45"/>
      <c r="U39" s="45"/>
      <c r="V39" s="45"/>
      <c r="W39" s="45"/>
      <c r="X39" s="45"/>
      <c r="Y39" s="46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4"/>
      <c r="EY39" s="24"/>
      <c r="EZ39" s="24"/>
    </row>
    <row r="40" spans="2:156">
      <c r="R40" s="44"/>
      <c r="S40" s="45"/>
      <c r="T40" s="45"/>
      <c r="U40" s="45"/>
      <c r="V40" s="45"/>
      <c r="W40" s="45"/>
      <c r="X40" s="45"/>
      <c r="Y40" s="46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  <c r="EZ40" s="24"/>
    </row>
    <row r="41" spans="2:156" ht="13">
      <c r="B41" s="16" t="s">
        <v>13</v>
      </c>
      <c r="E41" s="16" t="s">
        <v>14</v>
      </c>
      <c r="H41" s="16" t="s">
        <v>15</v>
      </c>
      <c r="K41" s="16" t="s">
        <v>11</v>
      </c>
      <c r="R41" s="44"/>
      <c r="S41" s="45"/>
      <c r="T41" s="45"/>
      <c r="U41" s="45"/>
      <c r="V41" s="45"/>
      <c r="W41" s="45"/>
      <c r="X41" s="45"/>
      <c r="Y41" s="46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  <c r="EZ41" s="24"/>
    </row>
    <row r="42" spans="2:156">
      <c r="B42" s="132" t="s">
        <v>23</v>
      </c>
      <c r="C42" s="138" t="s">
        <v>72</v>
      </c>
      <c r="E42" s="138" t="s">
        <v>23</v>
      </c>
      <c r="F42" s="138" t="s">
        <v>72</v>
      </c>
      <c r="H42" s="132" t="s">
        <v>23</v>
      </c>
      <c r="I42" s="138" t="s">
        <v>72</v>
      </c>
      <c r="K42" s="132" t="s">
        <v>23</v>
      </c>
      <c r="L42" s="138" t="s">
        <v>72</v>
      </c>
      <c r="R42" s="44"/>
      <c r="S42" s="45"/>
      <c r="T42" s="45"/>
      <c r="U42" s="45"/>
      <c r="V42" s="45"/>
      <c r="W42" s="45"/>
      <c r="X42" s="45"/>
      <c r="Y42" s="46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4"/>
      <c r="EY42" s="24"/>
      <c r="EZ42" s="24"/>
    </row>
    <row r="43" spans="2:156">
      <c r="B43" s="133"/>
      <c r="C43" s="139"/>
      <c r="E43" s="139"/>
      <c r="F43" s="139"/>
      <c r="H43" s="133"/>
      <c r="I43" s="139"/>
      <c r="K43" s="133"/>
      <c r="L43" s="139"/>
      <c r="R43" s="44"/>
      <c r="S43" s="45"/>
      <c r="T43" s="45"/>
      <c r="U43" s="45"/>
      <c r="V43" s="45"/>
      <c r="W43" s="45"/>
      <c r="X43" s="45"/>
      <c r="Y43" s="46"/>
      <c r="AA43" s="24"/>
      <c r="AB43" s="32" t="s">
        <v>63</v>
      </c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 t="s">
        <v>63</v>
      </c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4"/>
      <c r="EY43" s="24"/>
      <c r="EZ43" s="24"/>
    </row>
    <row r="44" spans="2:156" ht="14.5">
      <c r="B44" s="66">
        <v>97</v>
      </c>
      <c r="C44" s="125"/>
      <c r="E44" s="66">
        <v>117</v>
      </c>
      <c r="F44" s="125"/>
      <c r="H44" s="66">
        <v>137</v>
      </c>
      <c r="I44" s="125"/>
      <c r="K44" s="66">
        <v>157</v>
      </c>
      <c r="L44" s="125"/>
      <c r="R44" s="44"/>
      <c r="S44" s="45"/>
      <c r="T44" s="45"/>
      <c r="U44" s="45"/>
      <c r="V44" s="45"/>
      <c r="W44" s="45"/>
      <c r="X44" s="45"/>
      <c r="Y44" s="46"/>
      <c r="AA44" s="24"/>
      <c r="AB44" s="168" t="s">
        <v>2</v>
      </c>
      <c r="AC44" s="150" t="s">
        <v>22</v>
      </c>
      <c r="AD44" s="151"/>
      <c r="AE44" s="151"/>
      <c r="AF44" s="151"/>
      <c r="AG44" s="151"/>
      <c r="AH44" s="151"/>
      <c r="AI44" s="151"/>
      <c r="AJ44" s="151"/>
      <c r="AK44" s="151"/>
      <c r="AL44" s="151"/>
      <c r="AM44" s="151"/>
      <c r="AN44" s="151"/>
      <c r="AO44" s="151"/>
      <c r="AP44" s="148" t="s">
        <v>65</v>
      </c>
      <c r="AQ44" s="24"/>
      <c r="AR44" s="24"/>
      <c r="AS44" s="33"/>
      <c r="AT44" s="34" t="s">
        <v>2</v>
      </c>
      <c r="AU44" s="35" t="s">
        <v>49</v>
      </c>
      <c r="AV44" s="35" t="s">
        <v>55</v>
      </c>
      <c r="AW44" s="24"/>
      <c r="AX44" s="35" t="s">
        <v>49</v>
      </c>
      <c r="AY44" s="35" t="s">
        <v>55</v>
      </c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4"/>
      <c r="EY44" s="24"/>
      <c r="EZ44" s="24"/>
    </row>
    <row r="45" spans="2:156" ht="14.5">
      <c r="B45" s="66">
        <v>98</v>
      </c>
      <c r="C45" s="125"/>
      <c r="E45" s="66">
        <v>118</v>
      </c>
      <c r="F45" s="125"/>
      <c r="H45" s="66">
        <v>138</v>
      </c>
      <c r="I45" s="125"/>
      <c r="K45" s="66">
        <v>158</v>
      </c>
      <c r="L45" s="125"/>
      <c r="R45" s="44"/>
      <c r="S45" s="45"/>
      <c r="T45" s="45"/>
      <c r="U45" s="45"/>
      <c r="V45" s="45"/>
      <c r="W45" s="45"/>
      <c r="X45" s="45"/>
      <c r="Y45" s="46"/>
      <c r="AA45" s="24"/>
      <c r="AB45" s="169"/>
      <c r="AC45" s="25">
        <v>13</v>
      </c>
      <c r="AD45" s="25">
        <v>14</v>
      </c>
      <c r="AE45" s="25">
        <v>15</v>
      </c>
      <c r="AF45" s="25">
        <v>16</v>
      </c>
      <c r="AG45" s="25">
        <v>17</v>
      </c>
      <c r="AH45" s="25">
        <v>18</v>
      </c>
      <c r="AI45" s="25" t="s">
        <v>49</v>
      </c>
      <c r="AJ45" s="25" t="s">
        <v>50</v>
      </c>
      <c r="AK45" s="25" t="s">
        <v>51</v>
      </c>
      <c r="AL45" s="25" t="s">
        <v>52</v>
      </c>
      <c r="AM45" s="25" t="s">
        <v>53</v>
      </c>
      <c r="AN45" s="25" t="s">
        <v>54</v>
      </c>
      <c r="AO45" s="36" t="s">
        <v>55</v>
      </c>
      <c r="AP45" s="149"/>
      <c r="AQ45" s="24"/>
      <c r="AR45" s="24"/>
      <c r="AS45" s="37" t="s">
        <v>4</v>
      </c>
      <c r="AT45" s="12">
        <f t="shared" ref="AT45:AT53" si="3">U27</f>
        <v>0</v>
      </c>
      <c r="AU45" s="13" t="b">
        <f>IF($D$8&lt;=13,VLOOKUP(AT45,$AA$6:$AJ$38,2),IF($D$8&lt;=14,VLOOKUP(AT45,$AK$6:$AT$38,2),IF($D$8&lt;=15,VLOOKUP(AT45,$AU$6:$BD$38,2),IF($D$8&lt;=16,VLOOKUP(AT45,$BE$6:$BN$38,2),IF($D$8&lt;=17,VLOOKUP(AT45,$BO$6:$BX$38,2),IF($D$8&lt;=18,VLOOKUP(AT45,$BY$6:$CH$38,2),IF($D$8&lt;=20,VLOOKUP(AT45,$CI$6:$CR$38,2))))))))</f>
        <v>0</v>
      </c>
      <c r="AV45" s="13">
        <f>IF($D$8&lt;=24,VLOOKUP(AT45,$CS$6:$DB$38,2),IF($D$8&lt;=28,VLOOKUP(AT45,$DC$6:$DL$38,2),IF($D$8&lt;=33,VLOOKUP(AT45,$DM$6:$DV$38,2),IF($D$8&lt;=39,VLOOKUP(AT45,$DW$6:$EF$38,2),IF($D$8&lt;=45,VLOOKUP(AT45,$EG$6:$EP$38,2),VLOOKUP(AT45,$EQ$6:$EZ$38,2))))))</f>
        <v>65</v>
      </c>
      <c r="AW45" s="24"/>
      <c r="AX45" s="38" t="b">
        <f>IF($D$8&lt;=13,VLOOKUP(AT54,AB46:AO226,2),IF($D$8&lt;=14,VLOOKUP(AT54,AB46:AO226,3),IF($D$8&lt;=15,VLOOKUP(AT54,AB46:AO226,4),IF($D$8&lt;=16,VLOOKUP(AT54,AB46:AO226,5),IF($D$8&lt;=17,VLOOKUP(AT54,AB46:AO226,6),IF($D$8&lt;=18,VLOOKUP(AT54,AB46:AO226,7),IF($D$8&lt;=20,VLOOKUP(AT54,AB46:AO226,8))))))))</f>
        <v>0</v>
      </c>
      <c r="AY45" s="38">
        <f>IF($D$8&lt;=24,VLOOKUP(AT54,AB46:AO226,9),IF($D$8&lt;=28,VLOOKUP(AT54,AB46:AO226,10),IF($D$8&lt;=33,VLOOKUP(AT54,AB46:AO226,11),IF($D$8&lt;=39,VLOOKUP(AT54,AB46:AO226,12),IF($D$8&lt;=45,VLOOKUP(AT54,AB46:AO226,13),VLOOKUP(AT54,AB46:AO226,14))))))</f>
        <v>0</v>
      </c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4"/>
      <c r="EY45" s="24"/>
      <c r="EZ45" s="24"/>
    </row>
    <row r="46" spans="2:156" ht="14.5">
      <c r="B46" s="66">
        <v>99</v>
      </c>
      <c r="C46" s="125"/>
      <c r="E46" s="66">
        <v>119</v>
      </c>
      <c r="F46" s="125"/>
      <c r="H46" s="66">
        <v>139</v>
      </c>
      <c r="I46" s="125"/>
      <c r="K46" s="66">
        <v>159</v>
      </c>
      <c r="L46" s="125"/>
      <c r="R46" s="44"/>
      <c r="S46" s="45"/>
      <c r="T46" s="45"/>
      <c r="U46" s="45"/>
      <c r="V46" s="45"/>
      <c r="W46" s="45"/>
      <c r="X46" s="45"/>
      <c r="Y46" s="46"/>
      <c r="AA46" s="24"/>
      <c r="AB46" s="31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1"/>
      <c r="AQ46" s="24"/>
      <c r="AR46" s="24"/>
      <c r="AS46" s="39" t="s">
        <v>5</v>
      </c>
      <c r="AT46" s="12">
        <f t="shared" si="3"/>
        <v>0</v>
      </c>
      <c r="AU46" s="13" t="b">
        <f>IF($D$8&lt;=13,VLOOKUP(AT46,$AA$6:$AJ$38,3),IF($D$8&lt;=14,VLOOKUP(AT46,$AK$6:$AT$38,3),IF($D$8&lt;=15,VLOOKUP(AT46,$AU$6:$BD$38,3),IF($D$8&lt;=16,VLOOKUP(AT46,$BE$6:$BN$38,3),IF($D$8&lt;=17,VLOOKUP(AT46,$BO$6:$BX$38,3),IF($D$8&lt;=18,VLOOKUP(AT46,$BY$6:$CH$38,3),IF($D$8&lt;=20,VLOOKUP(AT46,$CI$6:$CR$38,3))))))))</f>
        <v>0</v>
      </c>
      <c r="AV46" s="13">
        <f>IF($D$8&lt;=24,VLOOKUP(AT46,$CS$6:$DB$38,3),IF($D$8&lt;=28,VLOOKUP(AT46,$DC$6:$DL$38,3),IF($D$8&lt;=33,VLOOKUP(AT46,$DM$6:$DV$38,3),IF($D$8&lt;=39,VLOOKUP(AT46,$DW$6:$EF$38,3),IF($D$8&lt;=45,VLOOKUP(AT46,$EG$6:$EP$38,3),VLOOKUP(AT46,$EQ$6:$EZ$38,3))))))</f>
        <v>65</v>
      </c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</row>
    <row r="47" spans="2:156" ht="14.5">
      <c r="B47" s="66">
        <v>100</v>
      </c>
      <c r="C47" s="125"/>
      <c r="E47" s="66">
        <v>120</v>
      </c>
      <c r="F47" s="125"/>
      <c r="H47" s="66">
        <v>140</v>
      </c>
      <c r="I47" s="125"/>
      <c r="K47" s="66">
        <v>160</v>
      </c>
      <c r="L47" s="125"/>
      <c r="R47" s="44"/>
      <c r="S47" s="45"/>
      <c r="T47" s="45"/>
      <c r="U47" s="45"/>
      <c r="V47" s="45"/>
      <c r="W47" s="45"/>
      <c r="X47" s="45"/>
      <c r="Y47" s="46"/>
      <c r="AA47" s="24"/>
      <c r="AB47" s="31">
        <v>1</v>
      </c>
      <c r="AC47" s="22">
        <v>64</v>
      </c>
      <c r="AD47" s="22">
        <v>65</v>
      </c>
      <c r="AE47" s="22">
        <v>66</v>
      </c>
      <c r="AF47" s="22">
        <v>64</v>
      </c>
      <c r="AG47" s="22">
        <v>66</v>
      </c>
      <c r="AH47" s="22">
        <v>66</v>
      </c>
      <c r="AI47" s="22">
        <v>65</v>
      </c>
      <c r="AJ47" s="22">
        <v>65</v>
      </c>
      <c r="AK47" s="22">
        <v>67</v>
      </c>
      <c r="AL47" s="22">
        <v>68</v>
      </c>
      <c r="AM47" s="22">
        <v>71</v>
      </c>
      <c r="AN47" s="22">
        <v>73</v>
      </c>
      <c r="AO47" s="22">
        <v>75</v>
      </c>
      <c r="AP47" s="21"/>
      <c r="AQ47" s="24"/>
      <c r="AR47" s="24"/>
      <c r="AS47" s="39" t="s">
        <v>7</v>
      </c>
      <c r="AT47" s="12">
        <f t="shared" si="3"/>
        <v>0</v>
      </c>
      <c r="AU47" s="13" t="b">
        <f>IF($D$8&lt;=13,VLOOKUP(AT47,$AA$6:$AJ$38,4),IF($D$8&lt;=14,VLOOKUP(AT47,$AK$6:$AT$38,4),IF($D$8&lt;=15,VLOOKUP(AT47,$AU$6:$BD$38,4),IF($D$8&lt;=16,VLOOKUP(AT47,$BE$6:$BN$38,4),IF($D$8&lt;=17,VLOOKUP(AT47,$BO$6:$BX$38,4),IF($D$8&lt;=18,VLOOKUP(AT47,$BY$6:$CH$38,4),IF($D$8&lt;=20,VLOOKUP(AT47,$CI$6:$CR$38,4))))))))</f>
        <v>0</v>
      </c>
      <c r="AV47" s="13">
        <f>IF($D$8&lt;=24,VLOOKUP(AT47,$CS$6:$DB$38,4),IF($D$8&lt;=28,VLOOKUP(AT47,$DC$6:$DL$38,4),IF($D$8&lt;=33,VLOOKUP(AT47,$DM$6:$DV$38,4),IF($D$8&lt;=39,VLOOKUP(AT47,$DW$6:$EF$38,4),IF($D$8&lt;=45,VLOOKUP(AT47,$EG$6:$EP$38,4),VLOOKUP(AT47,$EQ$6:$EZ$38,4))))))</f>
        <v>77</v>
      </c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  <c r="EW47" s="24"/>
      <c r="EX47" s="24"/>
      <c r="EY47" s="24"/>
      <c r="EZ47" s="24"/>
    </row>
    <row r="48" spans="2:156" ht="14.5">
      <c r="B48" s="66">
        <v>101</v>
      </c>
      <c r="C48" s="125"/>
      <c r="E48" s="66">
        <v>121</v>
      </c>
      <c r="F48" s="125"/>
      <c r="H48" s="66">
        <v>141</v>
      </c>
      <c r="I48" s="125"/>
      <c r="K48" s="66">
        <v>161</v>
      </c>
      <c r="L48" s="125"/>
      <c r="R48" s="44"/>
      <c r="S48" s="45"/>
      <c r="T48" s="45"/>
      <c r="U48" s="45"/>
      <c r="V48" s="45"/>
      <c r="W48" s="45"/>
      <c r="X48" s="45"/>
      <c r="Y48" s="46"/>
      <c r="AA48" s="24"/>
      <c r="AB48" s="31">
        <v>2</v>
      </c>
      <c r="AC48" s="22">
        <v>64</v>
      </c>
      <c r="AD48" s="22">
        <v>65</v>
      </c>
      <c r="AE48" s="22">
        <v>66</v>
      </c>
      <c r="AF48" s="22">
        <v>64</v>
      </c>
      <c r="AG48" s="22">
        <v>66</v>
      </c>
      <c r="AH48" s="22">
        <v>66</v>
      </c>
      <c r="AI48" s="22">
        <v>65</v>
      </c>
      <c r="AJ48" s="22">
        <v>65</v>
      </c>
      <c r="AK48" s="22">
        <v>67</v>
      </c>
      <c r="AL48" s="22">
        <v>68</v>
      </c>
      <c r="AM48" s="22">
        <v>71</v>
      </c>
      <c r="AN48" s="22">
        <v>73</v>
      </c>
      <c r="AO48" s="22">
        <v>75</v>
      </c>
      <c r="AP48" s="21"/>
      <c r="AQ48" s="24"/>
      <c r="AR48" s="24"/>
      <c r="AS48" s="39" t="s">
        <v>9</v>
      </c>
      <c r="AT48" s="12">
        <f t="shared" si="3"/>
        <v>0</v>
      </c>
      <c r="AU48" s="13" t="b">
        <f>IF($D$8&lt;=13,VLOOKUP(AT48,$AA$6:$AJ$38,5),IF($D$8&lt;=14,VLOOKUP(AT48,$AK$6:$AT$38,5),IF($D$8&lt;=15,VLOOKUP(AT48,$AU$6:$BD$38,5),IF($D$8&lt;=16,VLOOKUP(AT48,$BE$6:$BN$38,5),IF($D$8&lt;=17,VLOOKUP(AT48,$BO$6:$BX$38,5),IF($D$8&lt;=18,VLOOKUP(AT48,$BY$6:$CH$38,5),IF($D$8&lt;=20,VLOOKUP(AT48,$CI$6:$CR$38,5))))))))</f>
        <v>0</v>
      </c>
      <c r="AV48" s="13">
        <f>IF($D$8&lt;=24,VLOOKUP(AT48,$CS$6:$DB$38,5),IF($D$8&lt;=28,VLOOKUP(AT48,$DC$6:$DL$38,5),IF($D$8&lt;=33,VLOOKUP(AT48,$DM$6:$DV$38,5),IF($D$8&lt;=39,VLOOKUP(AT48,$DW$6:$EF$38,5),IF($D$8&lt;=45,VLOOKUP(AT48,$EG$6:$EP$38,5),VLOOKUP(AT48,$EQ$6:$EZ$38,5))))))</f>
        <v>73</v>
      </c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</row>
    <row r="49" spans="2:156" ht="14.5">
      <c r="B49" s="66">
        <v>102</v>
      </c>
      <c r="C49" s="125"/>
      <c r="E49" s="66">
        <v>122</v>
      </c>
      <c r="F49" s="125"/>
      <c r="H49" s="66">
        <v>142</v>
      </c>
      <c r="I49" s="125"/>
      <c r="K49" s="66">
        <v>162</v>
      </c>
      <c r="L49" s="125"/>
      <c r="R49" s="44"/>
      <c r="S49" s="45"/>
      <c r="T49" s="45"/>
      <c r="U49" s="45"/>
      <c r="V49" s="45"/>
      <c r="W49" s="45"/>
      <c r="X49" s="45"/>
      <c r="Y49" s="46"/>
      <c r="AA49" s="24"/>
      <c r="AB49" s="31">
        <v>3</v>
      </c>
      <c r="AC49" s="22">
        <v>64</v>
      </c>
      <c r="AD49" s="22">
        <v>65</v>
      </c>
      <c r="AE49" s="22">
        <v>66</v>
      </c>
      <c r="AF49" s="22">
        <v>64</v>
      </c>
      <c r="AG49" s="22">
        <v>66</v>
      </c>
      <c r="AH49" s="22">
        <v>66</v>
      </c>
      <c r="AI49" s="22">
        <v>65</v>
      </c>
      <c r="AJ49" s="22">
        <v>65</v>
      </c>
      <c r="AK49" s="22">
        <v>67</v>
      </c>
      <c r="AL49" s="22">
        <v>68</v>
      </c>
      <c r="AM49" s="22">
        <v>71</v>
      </c>
      <c r="AN49" s="22">
        <v>73</v>
      </c>
      <c r="AO49" s="22">
        <v>75</v>
      </c>
      <c r="AP49" s="21"/>
      <c r="AQ49" s="24"/>
      <c r="AR49" s="24"/>
      <c r="AS49" s="39" t="s">
        <v>11</v>
      </c>
      <c r="AT49" s="12">
        <f t="shared" si="3"/>
        <v>0</v>
      </c>
      <c r="AU49" s="13" t="b">
        <f>IF($D$8&lt;=13,VLOOKUP(AT49,$AA$6:$AJ$38,10),IF($D$8&lt;=14,VLOOKUP(AT49,$AK$6:$AT$38,10),IF($D$8&lt;=15,VLOOKUP(AT49,$AU$6:$BD$38,10),IF($D$8&lt;=16,VLOOKUP(AT49,$BE$6:$BN$38,10),IF($D$8&lt;=17,VLOOKUP(AT49,$BO$6:$BX$38,10),IF($D$8&lt;=18,VLOOKUP(AT49,$BY$6:$CH$38,10),IF($D$8&lt;=20,VLOOKUP(AT49,$CI$6:$CR$38,10))))))))</f>
        <v>0</v>
      </c>
      <c r="AV49" s="13">
        <f>IF($D$8&lt;=24,VLOOKUP(AT49,$CS$6:$DB$38,10),IF($D$8&lt;=28,VLOOKUP(AT49,$DC$6:$DL$38,10),IF($D$8&lt;=33,VLOOKUP(AT49,$DM$6:$DV$38,10),IF($D$8&lt;=39,VLOOKUP(AT49,$DW$6:$EF$38,10),IF($D$8&lt;=45,VLOOKUP(AT49,$EG$6:$EP$38,10),VLOOKUP(AT49,$EQ$6:$EZ$38,10))))))</f>
        <v>77</v>
      </c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4"/>
      <c r="EX49" s="24"/>
      <c r="EY49" s="24"/>
      <c r="EZ49" s="24"/>
    </row>
    <row r="50" spans="2:156" ht="14.5">
      <c r="B50" s="66">
        <v>103</v>
      </c>
      <c r="C50" s="125"/>
      <c r="E50" s="66">
        <v>123</v>
      </c>
      <c r="F50" s="125"/>
      <c r="H50" s="66">
        <v>143</v>
      </c>
      <c r="I50" s="125"/>
      <c r="K50" s="66">
        <v>163</v>
      </c>
      <c r="L50" s="125"/>
      <c r="R50" s="44"/>
      <c r="S50" s="45"/>
      <c r="T50" s="45"/>
      <c r="U50" s="45"/>
      <c r="V50" s="45"/>
      <c r="W50" s="45"/>
      <c r="X50" s="45"/>
      <c r="Y50" s="46"/>
      <c r="AA50" s="24"/>
      <c r="AB50" s="31">
        <v>4</v>
      </c>
      <c r="AC50" s="22">
        <v>64</v>
      </c>
      <c r="AD50" s="22">
        <v>65</v>
      </c>
      <c r="AE50" s="22">
        <v>66</v>
      </c>
      <c r="AF50" s="22">
        <v>64</v>
      </c>
      <c r="AG50" s="22">
        <v>66</v>
      </c>
      <c r="AH50" s="22">
        <v>66</v>
      </c>
      <c r="AI50" s="22">
        <v>65</v>
      </c>
      <c r="AJ50" s="22">
        <v>65</v>
      </c>
      <c r="AK50" s="22">
        <v>67</v>
      </c>
      <c r="AL50" s="22">
        <v>68</v>
      </c>
      <c r="AM50" s="22">
        <v>71</v>
      </c>
      <c r="AN50" s="22">
        <v>73</v>
      </c>
      <c r="AO50" s="22">
        <v>75</v>
      </c>
      <c r="AP50" s="21"/>
      <c r="AQ50" s="24"/>
      <c r="AR50" s="24"/>
      <c r="AS50" s="39" t="s">
        <v>12</v>
      </c>
      <c r="AT50" s="12">
        <f t="shared" si="3"/>
        <v>0</v>
      </c>
      <c r="AU50" s="13" t="b">
        <f>IF($D$8&lt;=13,VLOOKUP(AT50,$AA$6:$AJ$38,6),IF($D$8&lt;=14,VLOOKUP(AT50,$AK$6:$AT$38,6),IF($D$8&lt;=15,VLOOKUP(AT50,$AU$6:$BD$38,6),IF($D$8&lt;=16,VLOOKUP(AT50,$BE$6:$BN$38,6),IF($D$8&lt;=17,VLOOKUP(AT50,$BO$6:$BX$38,6),IF($D$8&lt;=18,VLOOKUP(AT50,$BY$6:$CH$38,6),IF($D$8&lt;=20,VLOOKUP(AT50,$CI$6:$CR$38,6))))))))</f>
        <v>0</v>
      </c>
      <c r="AV50" s="13">
        <f>IF($D$8&lt;=24,VLOOKUP(AT50,$CS$6:$DB$38,6),IF($D$8&lt;=28,VLOOKUP(AT50,$DC$6:$DL$38,6),IF($D$8&lt;=33,VLOOKUP(AT50,$DM$6:$DV$38,6),IF($D$8&lt;=39,VLOOKUP(AT50,$DW$6:$EF$38,6),IF($D$8&lt;=45,VLOOKUP(AT50,$EG$6:$EP$38,6),VLOOKUP(AT50,$EQ$6:$EZ$38,6))))))</f>
        <v>72</v>
      </c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</row>
    <row r="51" spans="2:156" ht="14.5">
      <c r="B51" s="66">
        <v>104</v>
      </c>
      <c r="C51" s="125"/>
      <c r="E51" s="66">
        <v>124</v>
      </c>
      <c r="F51" s="125"/>
      <c r="H51" s="66">
        <v>144</v>
      </c>
      <c r="I51" s="125"/>
      <c r="K51" s="66">
        <v>164</v>
      </c>
      <c r="L51" s="125"/>
      <c r="R51" s="44"/>
      <c r="S51" s="45"/>
      <c r="T51" s="45"/>
      <c r="U51" s="45"/>
      <c r="V51" s="45"/>
      <c r="W51" s="45"/>
      <c r="X51" s="45"/>
      <c r="Y51" s="46"/>
      <c r="AA51" s="24"/>
      <c r="AB51" s="31">
        <v>5</v>
      </c>
      <c r="AC51" s="22">
        <v>64</v>
      </c>
      <c r="AD51" s="22">
        <v>65</v>
      </c>
      <c r="AE51" s="22">
        <v>66</v>
      </c>
      <c r="AF51" s="22">
        <v>64</v>
      </c>
      <c r="AG51" s="22">
        <v>66</v>
      </c>
      <c r="AH51" s="22">
        <v>66</v>
      </c>
      <c r="AI51" s="22">
        <v>65</v>
      </c>
      <c r="AJ51" s="22">
        <v>65</v>
      </c>
      <c r="AK51" s="22">
        <v>67</v>
      </c>
      <c r="AL51" s="22">
        <v>68</v>
      </c>
      <c r="AM51" s="22">
        <v>71</v>
      </c>
      <c r="AN51" s="22">
        <v>73</v>
      </c>
      <c r="AO51" s="22">
        <v>75</v>
      </c>
      <c r="AP51" s="21"/>
      <c r="AQ51" s="24"/>
      <c r="AR51" s="24"/>
      <c r="AS51" s="39" t="s">
        <v>13</v>
      </c>
      <c r="AT51" s="12">
        <f t="shared" si="3"/>
        <v>0</v>
      </c>
      <c r="AU51" s="13" t="b">
        <f>IF($D$8&lt;=13,VLOOKUP(AT51,$AA$6:$AJ$38,7),IF($D$8&lt;=14,VLOOKUP(AT51,$AK$6:$AT$38,7),IF($D$8&lt;=15,VLOOKUP(AT51,$AU$6:$BD$38,7),IF($D$8&lt;=16,VLOOKUP(AT51,$BE$6:$BN$38,7),IF($D$8&lt;=17,VLOOKUP(AT51,$BO$6:$BX$38,7),IF($D$8&lt;=18,VLOOKUP(AT51,$BY$6:$CH$38,7),IF($D$8&lt;=20,VLOOKUP(AT51,$CI$6:$CR$38,7))))))))</f>
        <v>0</v>
      </c>
      <c r="AV51" s="13">
        <f>IF($D$8&lt;=24,VLOOKUP(AT51,$CS$6:$DB$38,7),IF($D$8&lt;=28,VLOOKUP(AT51,$DC$6:$DL$38,7),IF($D$8&lt;=33,VLOOKUP(AT51,$DM$6:$DV$38,7),IF($D$8&lt;=39,VLOOKUP(AT51,$DW$6:$EF$38,7),IF($D$8&lt;=45,VLOOKUP(AT51,$EG$6:$EP$38,7),VLOOKUP(AT51,$EQ$6:$EZ$38,7))))))</f>
        <v>77</v>
      </c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4"/>
      <c r="EY51" s="24"/>
      <c r="EZ51" s="24"/>
    </row>
    <row r="52" spans="2:156" ht="14.5">
      <c r="B52" s="66">
        <v>105</v>
      </c>
      <c r="C52" s="125"/>
      <c r="E52" s="66">
        <v>125</v>
      </c>
      <c r="F52" s="125"/>
      <c r="H52" s="66">
        <v>145</v>
      </c>
      <c r="I52" s="125"/>
      <c r="K52" s="66">
        <v>165</v>
      </c>
      <c r="L52" s="125"/>
      <c r="R52" s="44"/>
      <c r="S52" s="45"/>
      <c r="T52" s="45"/>
      <c r="U52" s="45"/>
      <c r="V52" s="45"/>
      <c r="W52" s="45"/>
      <c r="X52" s="45"/>
      <c r="Y52" s="46"/>
      <c r="AA52" s="24"/>
      <c r="AB52" s="31">
        <v>6</v>
      </c>
      <c r="AC52" s="22">
        <v>64</v>
      </c>
      <c r="AD52" s="22">
        <v>65</v>
      </c>
      <c r="AE52" s="22">
        <v>66</v>
      </c>
      <c r="AF52" s="22">
        <v>64</v>
      </c>
      <c r="AG52" s="22">
        <v>66</v>
      </c>
      <c r="AH52" s="22">
        <v>66</v>
      </c>
      <c r="AI52" s="22">
        <v>65</v>
      </c>
      <c r="AJ52" s="22">
        <v>65</v>
      </c>
      <c r="AK52" s="22">
        <v>67</v>
      </c>
      <c r="AL52" s="22">
        <v>68</v>
      </c>
      <c r="AM52" s="22">
        <v>71</v>
      </c>
      <c r="AN52" s="22">
        <v>73</v>
      </c>
      <c r="AO52" s="22">
        <v>75</v>
      </c>
      <c r="AP52" s="21"/>
      <c r="AQ52" s="24"/>
      <c r="AR52" s="24"/>
      <c r="AS52" s="39" t="s">
        <v>14</v>
      </c>
      <c r="AT52" s="12">
        <f t="shared" si="3"/>
        <v>0</v>
      </c>
      <c r="AU52" s="13" t="b">
        <f>IF($D$8&lt;=13,VLOOKUP(AT52,$AA$6:$AJ$38,8),IF($D$8&lt;=14,VLOOKUP(AT52,$AK$6:$AT$38,8),IF($D$8&lt;=15,VLOOKUP(AT52,$AU$6:$BD$38,8),IF($D$8&lt;=16,VLOOKUP(AT52,$BE$6:$BN$38,8),IF($D$8&lt;=17,VLOOKUP(AT52,$BO$6:$BX$38,8),IF($D$8&lt;=18,VLOOKUP(AT52,$BY$6:$CH$38,8),IF($D$8&lt;=20,VLOOKUP(AT52,$CI$6:$CR$38,8))))))))</f>
        <v>0</v>
      </c>
      <c r="AV52" s="13">
        <f>IF($D$8&lt;=24,VLOOKUP(AT52,$CS$6:$DB$38,8),IF($D$8&lt;=28,VLOOKUP(AT52,$DC$6:$DL$38,8),IF($D$8&lt;=33,VLOOKUP(AT52,$DM$6:$DV$38,8),IF($D$8&lt;=39,VLOOKUP(AT52,$DW$6:$EF$38,8),IF($D$8&lt;=45,VLOOKUP(AT52,$EG$6:$EP$38,8),VLOOKUP(AT52,$EQ$6:$EZ$38,8))))))</f>
        <v>74</v>
      </c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</row>
    <row r="53" spans="2:156" ht="14.5">
      <c r="B53" s="66">
        <v>106</v>
      </c>
      <c r="C53" s="125"/>
      <c r="E53" s="66">
        <v>126</v>
      </c>
      <c r="F53" s="125"/>
      <c r="H53" s="66">
        <v>146</v>
      </c>
      <c r="I53" s="125"/>
      <c r="K53" s="66">
        <v>166</v>
      </c>
      <c r="L53" s="125"/>
      <c r="R53" s="44"/>
      <c r="S53" s="45"/>
      <c r="T53" s="45"/>
      <c r="U53" s="45"/>
      <c r="V53" s="45"/>
      <c r="W53" s="45"/>
      <c r="X53" s="45"/>
      <c r="Y53" s="46"/>
      <c r="AA53" s="24"/>
      <c r="AB53" s="31">
        <v>7</v>
      </c>
      <c r="AC53" s="22">
        <v>64</v>
      </c>
      <c r="AD53" s="22">
        <v>65</v>
      </c>
      <c r="AE53" s="22">
        <v>66</v>
      </c>
      <c r="AF53" s="22">
        <v>64</v>
      </c>
      <c r="AG53" s="22">
        <v>66</v>
      </c>
      <c r="AH53" s="22">
        <v>66</v>
      </c>
      <c r="AI53" s="22">
        <v>65</v>
      </c>
      <c r="AJ53" s="22">
        <v>65</v>
      </c>
      <c r="AK53" s="22">
        <v>67</v>
      </c>
      <c r="AL53" s="22">
        <v>68</v>
      </c>
      <c r="AM53" s="22">
        <v>71</v>
      </c>
      <c r="AN53" s="22">
        <v>73</v>
      </c>
      <c r="AO53" s="22">
        <v>75</v>
      </c>
      <c r="AP53" s="21"/>
      <c r="AQ53" s="24"/>
      <c r="AR53" s="24"/>
      <c r="AS53" s="34" t="s">
        <v>15</v>
      </c>
      <c r="AT53" s="12">
        <f t="shared" si="3"/>
        <v>0</v>
      </c>
      <c r="AU53" s="13" t="b">
        <f>IF($D$8&lt;=13,VLOOKUP(AT53,$AA$6:$AJ$38,9),IF($D$8&lt;=14,VLOOKUP(AT53,$AK$6:$AT$38,9),IF($D$8&lt;=15,VLOOKUP(AT53,$AU$6:$BD$38,9),IF($D$8&lt;=16,VLOOKUP(AT53,$BE$6:$BN$38,9),IF($D$8&lt;=17,VLOOKUP(AT53,$BO$6:$BX$38,9),IF($D$8&lt;=18,VLOOKUP(AT53,$BY$6:$CH$38,9),IF($D$8&lt;=20,VLOOKUP(AT53,$CI$6:$CR$38,9))))))))</f>
        <v>0</v>
      </c>
      <c r="AV53" s="13">
        <f>IF($D$8&lt;=24,VLOOKUP(AT53,$CS$6:$DB$38,9),IF($D$8&lt;=28,VLOOKUP(AT53,$DC$6:$DL$38,9),IF($D$8&lt;=33,VLOOKUP(AT53,$DM$6:$DV$38,9),IF($D$8&lt;=39,VLOOKUP(AT53,$DW$6:$EF$38,9),IF($D$8&lt;=45,VLOOKUP(AT53,$EG$6:$EP$38,9),VLOOKUP(AT53,$EQ$6:$EZ$38,9))))))</f>
        <v>74</v>
      </c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4"/>
      <c r="EY53" s="24"/>
      <c r="EZ53" s="24"/>
    </row>
    <row r="54" spans="2:156" ht="14.5">
      <c r="B54" s="66">
        <v>107</v>
      </c>
      <c r="C54" s="125"/>
      <c r="E54" s="66">
        <v>127</v>
      </c>
      <c r="F54" s="125"/>
      <c r="H54" s="66">
        <v>147</v>
      </c>
      <c r="I54" s="125"/>
      <c r="K54" s="66">
        <v>167</v>
      </c>
      <c r="L54" s="125"/>
      <c r="R54" s="44"/>
      <c r="S54" s="45"/>
      <c r="T54" s="45"/>
      <c r="U54" s="45"/>
      <c r="V54" s="45"/>
      <c r="W54" s="45"/>
      <c r="X54" s="45"/>
      <c r="Y54" s="46"/>
      <c r="AA54" s="24"/>
      <c r="AB54" s="31">
        <v>8</v>
      </c>
      <c r="AC54" s="22">
        <v>64</v>
      </c>
      <c r="AD54" s="22">
        <v>65</v>
      </c>
      <c r="AE54" s="22">
        <v>66</v>
      </c>
      <c r="AF54" s="22">
        <v>64</v>
      </c>
      <c r="AG54" s="22">
        <v>66</v>
      </c>
      <c r="AH54" s="22">
        <v>66</v>
      </c>
      <c r="AI54" s="22">
        <v>65</v>
      </c>
      <c r="AJ54" s="22">
        <v>65</v>
      </c>
      <c r="AK54" s="22">
        <v>67</v>
      </c>
      <c r="AL54" s="22">
        <v>68</v>
      </c>
      <c r="AM54" s="22">
        <v>71</v>
      </c>
      <c r="AN54" s="22">
        <v>73</v>
      </c>
      <c r="AO54" s="22">
        <v>75</v>
      </c>
      <c r="AP54" s="21"/>
      <c r="AQ54" s="24"/>
      <c r="AR54" s="24"/>
      <c r="AS54" s="20" t="s">
        <v>16</v>
      </c>
      <c r="AT54" s="19">
        <f>SUM(AT45:AT53)</f>
        <v>0</v>
      </c>
      <c r="AU54" s="11">
        <f>IF($D$8&lt;=20,AX45,AY45)</f>
        <v>0</v>
      </c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4"/>
      <c r="EY54" s="24"/>
      <c r="EZ54" s="24"/>
    </row>
    <row r="55" spans="2:156" ht="14.5">
      <c r="B55" s="66">
        <v>108</v>
      </c>
      <c r="C55" s="125"/>
      <c r="E55" s="66">
        <v>128</v>
      </c>
      <c r="F55" s="125"/>
      <c r="H55" s="66">
        <v>148</v>
      </c>
      <c r="I55" s="125"/>
      <c r="K55" s="66">
        <v>168</v>
      </c>
      <c r="L55" s="125"/>
      <c r="R55" s="44"/>
      <c r="S55" s="45"/>
      <c r="T55" s="45"/>
      <c r="U55" s="45"/>
      <c r="V55" s="45"/>
      <c r="W55" s="45"/>
      <c r="X55" s="45"/>
      <c r="Y55" s="46"/>
      <c r="AA55" s="24"/>
      <c r="AB55" s="31">
        <v>9</v>
      </c>
      <c r="AC55" s="22">
        <v>64</v>
      </c>
      <c r="AD55" s="22">
        <v>65</v>
      </c>
      <c r="AE55" s="22">
        <v>66</v>
      </c>
      <c r="AF55" s="22">
        <v>64</v>
      </c>
      <c r="AG55" s="22">
        <v>66</v>
      </c>
      <c r="AH55" s="22">
        <v>66</v>
      </c>
      <c r="AI55" s="22">
        <v>65</v>
      </c>
      <c r="AJ55" s="22">
        <v>65</v>
      </c>
      <c r="AK55" s="22">
        <v>67</v>
      </c>
      <c r="AL55" s="22">
        <v>68</v>
      </c>
      <c r="AM55" s="22">
        <v>71</v>
      </c>
      <c r="AN55" s="22">
        <v>73</v>
      </c>
      <c r="AO55" s="22">
        <v>75</v>
      </c>
      <c r="AP55" s="21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4"/>
      <c r="EY55" s="24"/>
      <c r="EZ55" s="24"/>
    </row>
    <row r="56" spans="2:156" ht="14.5">
      <c r="B56" s="66">
        <v>109</v>
      </c>
      <c r="C56" s="125"/>
      <c r="E56" s="66">
        <v>129</v>
      </c>
      <c r="F56" s="125"/>
      <c r="H56" s="66">
        <v>149</v>
      </c>
      <c r="I56" s="125"/>
      <c r="K56" s="66">
        <v>169</v>
      </c>
      <c r="L56" s="125"/>
      <c r="R56" s="44"/>
      <c r="S56" s="45"/>
      <c r="T56" s="45"/>
      <c r="U56" s="45"/>
      <c r="V56" s="45"/>
      <c r="W56" s="45"/>
      <c r="X56" s="45"/>
      <c r="Y56" s="46"/>
      <c r="AA56" s="24"/>
      <c r="AB56" s="31">
        <v>10</v>
      </c>
      <c r="AC56" s="22">
        <v>64</v>
      </c>
      <c r="AD56" s="22">
        <v>65</v>
      </c>
      <c r="AE56" s="22">
        <v>66</v>
      </c>
      <c r="AF56" s="22">
        <v>64</v>
      </c>
      <c r="AG56" s="22">
        <v>66</v>
      </c>
      <c r="AH56" s="22">
        <v>66</v>
      </c>
      <c r="AI56" s="22">
        <v>65</v>
      </c>
      <c r="AJ56" s="22">
        <v>65</v>
      </c>
      <c r="AK56" s="22">
        <v>67</v>
      </c>
      <c r="AL56" s="22">
        <v>68</v>
      </c>
      <c r="AM56" s="22">
        <v>71</v>
      </c>
      <c r="AN56" s="22">
        <v>73</v>
      </c>
      <c r="AO56" s="22">
        <v>75</v>
      </c>
      <c r="AP56" s="21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  <c r="EZ56" s="24"/>
    </row>
    <row r="57" spans="2:156" ht="14.5">
      <c r="B57" s="66">
        <v>110</v>
      </c>
      <c r="C57" s="125"/>
      <c r="E57" s="66">
        <v>130</v>
      </c>
      <c r="F57" s="125"/>
      <c r="H57" s="66">
        <v>150</v>
      </c>
      <c r="I57" s="125"/>
      <c r="K57" s="66">
        <v>170</v>
      </c>
      <c r="L57" s="125"/>
      <c r="R57" s="44"/>
      <c r="S57" s="45"/>
      <c r="T57" s="45"/>
      <c r="U57" s="45"/>
      <c r="V57" s="45"/>
      <c r="W57" s="45"/>
      <c r="X57" s="45"/>
      <c r="Y57" s="46"/>
      <c r="AA57" s="24"/>
      <c r="AB57" s="31">
        <v>11</v>
      </c>
      <c r="AC57" s="22">
        <v>70</v>
      </c>
      <c r="AD57" s="22">
        <v>71</v>
      </c>
      <c r="AE57" s="22">
        <v>71</v>
      </c>
      <c r="AF57" s="22">
        <v>69</v>
      </c>
      <c r="AG57" s="22">
        <v>70</v>
      </c>
      <c r="AH57" s="22">
        <v>70</v>
      </c>
      <c r="AI57" s="22">
        <v>69</v>
      </c>
      <c r="AJ57" s="22">
        <v>69</v>
      </c>
      <c r="AK57" s="22">
        <v>70</v>
      </c>
      <c r="AL57" s="22">
        <v>71</v>
      </c>
      <c r="AM57" s="22">
        <v>74</v>
      </c>
      <c r="AN57" s="22">
        <v>76</v>
      </c>
      <c r="AO57" s="22">
        <v>79</v>
      </c>
      <c r="AP57" s="21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4"/>
      <c r="EY57" s="24"/>
      <c r="EZ57" s="24"/>
    </row>
    <row r="58" spans="2:156" ht="14.5">
      <c r="B58" s="66">
        <v>111</v>
      </c>
      <c r="C58" s="125"/>
      <c r="E58" s="66">
        <v>131</v>
      </c>
      <c r="F58" s="125"/>
      <c r="H58" s="66">
        <v>151</v>
      </c>
      <c r="I58" s="125"/>
      <c r="K58" s="66">
        <v>171</v>
      </c>
      <c r="L58" s="125"/>
      <c r="R58" s="44"/>
      <c r="S58" s="45"/>
      <c r="T58" s="45"/>
      <c r="U58" s="45"/>
      <c r="V58" s="45"/>
      <c r="W58" s="45"/>
      <c r="X58" s="45"/>
      <c r="Y58" s="46"/>
      <c r="AA58" s="24"/>
      <c r="AB58" s="31">
        <v>12</v>
      </c>
      <c r="AC58" s="22">
        <v>70</v>
      </c>
      <c r="AD58" s="22">
        <v>71</v>
      </c>
      <c r="AE58" s="22">
        <v>71</v>
      </c>
      <c r="AF58" s="22">
        <v>69</v>
      </c>
      <c r="AG58" s="22">
        <v>70</v>
      </c>
      <c r="AH58" s="22">
        <v>70</v>
      </c>
      <c r="AI58" s="22">
        <v>69</v>
      </c>
      <c r="AJ58" s="22">
        <v>69</v>
      </c>
      <c r="AK58" s="22">
        <v>70</v>
      </c>
      <c r="AL58" s="22">
        <v>71</v>
      </c>
      <c r="AM58" s="22">
        <v>74</v>
      </c>
      <c r="AN58" s="22">
        <v>76</v>
      </c>
      <c r="AO58" s="22">
        <v>79</v>
      </c>
      <c r="AP58" s="21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/>
      <c r="EQ58" s="24"/>
      <c r="ER58" s="24"/>
      <c r="ES58" s="24"/>
      <c r="ET58" s="24"/>
      <c r="EU58" s="24"/>
      <c r="EV58" s="24"/>
      <c r="EW58" s="24"/>
      <c r="EX58" s="24"/>
      <c r="EY58" s="24"/>
      <c r="EZ58" s="24"/>
    </row>
    <row r="59" spans="2:156" ht="14.5">
      <c r="B59" s="66">
        <v>112</v>
      </c>
      <c r="C59" s="125"/>
      <c r="E59" s="66">
        <v>132</v>
      </c>
      <c r="F59" s="125"/>
      <c r="H59" s="66">
        <v>152</v>
      </c>
      <c r="I59" s="125"/>
      <c r="K59" s="66">
        <v>172</v>
      </c>
      <c r="L59" s="125"/>
      <c r="R59" s="44"/>
      <c r="S59" s="45"/>
      <c r="T59" s="45"/>
      <c r="U59" s="45"/>
      <c r="V59" s="45"/>
      <c r="W59" s="45"/>
      <c r="X59" s="45"/>
      <c r="Y59" s="46"/>
      <c r="AA59" s="24"/>
      <c r="AB59" s="31">
        <v>13</v>
      </c>
      <c r="AC59" s="22">
        <v>70</v>
      </c>
      <c r="AD59" s="22">
        <v>71</v>
      </c>
      <c r="AE59" s="22">
        <v>71</v>
      </c>
      <c r="AF59" s="22">
        <v>69</v>
      </c>
      <c r="AG59" s="22">
        <v>70</v>
      </c>
      <c r="AH59" s="22">
        <v>70</v>
      </c>
      <c r="AI59" s="22">
        <v>69</v>
      </c>
      <c r="AJ59" s="22">
        <v>69</v>
      </c>
      <c r="AK59" s="22">
        <v>70</v>
      </c>
      <c r="AL59" s="22">
        <v>71</v>
      </c>
      <c r="AM59" s="22">
        <v>74</v>
      </c>
      <c r="AN59" s="22">
        <v>76</v>
      </c>
      <c r="AO59" s="22">
        <v>79</v>
      </c>
      <c r="AP59" s="21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4"/>
      <c r="EY59" s="24"/>
      <c r="EZ59" s="24"/>
    </row>
    <row r="60" spans="2:156" ht="14.5">
      <c r="B60" s="66">
        <v>113</v>
      </c>
      <c r="C60" s="125"/>
      <c r="E60" s="66">
        <v>133</v>
      </c>
      <c r="F60" s="125"/>
      <c r="H60" s="66">
        <v>153</v>
      </c>
      <c r="I60" s="125"/>
      <c r="K60" s="66">
        <v>173</v>
      </c>
      <c r="L60" s="125"/>
      <c r="R60" s="44"/>
      <c r="S60" s="45"/>
      <c r="T60" s="45"/>
      <c r="U60" s="45"/>
      <c r="V60" s="45"/>
      <c r="W60" s="45"/>
      <c r="X60" s="45"/>
      <c r="Y60" s="46"/>
      <c r="AA60" s="24"/>
      <c r="AB60" s="31">
        <v>14</v>
      </c>
      <c r="AC60" s="22">
        <v>70</v>
      </c>
      <c r="AD60" s="22">
        <v>71</v>
      </c>
      <c r="AE60" s="22">
        <v>71</v>
      </c>
      <c r="AF60" s="22">
        <v>69</v>
      </c>
      <c r="AG60" s="22">
        <v>70</v>
      </c>
      <c r="AH60" s="22">
        <v>70</v>
      </c>
      <c r="AI60" s="22">
        <v>69</v>
      </c>
      <c r="AJ60" s="22">
        <v>69</v>
      </c>
      <c r="AK60" s="22">
        <v>70</v>
      </c>
      <c r="AL60" s="22">
        <v>71</v>
      </c>
      <c r="AM60" s="22">
        <v>74</v>
      </c>
      <c r="AN60" s="22">
        <v>76</v>
      </c>
      <c r="AO60" s="22">
        <v>79</v>
      </c>
      <c r="AP60" s="21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4"/>
      <c r="EY60" s="24"/>
      <c r="EZ60" s="24"/>
    </row>
    <row r="61" spans="2:156" ht="15" thickBot="1">
      <c r="B61" s="66">
        <v>114</v>
      </c>
      <c r="C61" s="125"/>
      <c r="E61" s="66">
        <v>134</v>
      </c>
      <c r="F61" s="125"/>
      <c r="H61" s="66">
        <v>154</v>
      </c>
      <c r="I61" s="125"/>
      <c r="K61" s="66">
        <v>174</v>
      </c>
      <c r="L61" s="125"/>
      <c r="R61" s="48"/>
      <c r="S61" s="49"/>
      <c r="T61" s="49"/>
      <c r="U61" s="49"/>
      <c r="V61" s="49"/>
      <c r="W61" s="49"/>
      <c r="X61" s="49"/>
      <c r="Y61" s="50"/>
      <c r="AA61" s="24"/>
      <c r="AB61" s="31">
        <v>15</v>
      </c>
      <c r="AC61" s="22">
        <v>70</v>
      </c>
      <c r="AD61" s="22">
        <v>71</v>
      </c>
      <c r="AE61" s="22">
        <v>71</v>
      </c>
      <c r="AF61" s="22">
        <v>69</v>
      </c>
      <c r="AG61" s="22">
        <v>70</v>
      </c>
      <c r="AH61" s="22">
        <v>70</v>
      </c>
      <c r="AI61" s="22">
        <v>69</v>
      </c>
      <c r="AJ61" s="22">
        <v>69</v>
      </c>
      <c r="AK61" s="22">
        <v>70</v>
      </c>
      <c r="AL61" s="22">
        <v>71</v>
      </c>
      <c r="AM61" s="22">
        <v>74</v>
      </c>
      <c r="AN61" s="22">
        <v>76</v>
      </c>
      <c r="AO61" s="22">
        <v>79</v>
      </c>
      <c r="AP61" s="21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4"/>
      <c r="EJ61" s="24"/>
      <c r="EK61" s="24"/>
      <c r="EL61" s="24"/>
      <c r="EM61" s="24"/>
      <c r="EN61" s="24"/>
      <c r="EO61" s="24"/>
      <c r="EP61" s="24"/>
      <c r="EQ61" s="24"/>
      <c r="ER61" s="24"/>
      <c r="ES61" s="24"/>
      <c r="ET61" s="24"/>
      <c r="EU61" s="24"/>
      <c r="EV61" s="24"/>
      <c r="EW61" s="24"/>
      <c r="EX61" s="24"/>
      <c r="EY61" s="24"/>
      <c r="EZ61" s="24"/>
    </row>
    <row r="62" spans="2:156" ht="14.5">
      <c r="B62" s="66">
        <v>115</v>
      </c>
      <c r="C62" s="125"/>
      <c r="E62" s="66">
        <v>135</v>
      </c>
      <c r="F62" s="125"/>
      <c r="H62" s="66">
        <v>155</v>
      </c>
      <c r="I62" s="125"/>
      <c r="K62" s="66">
        <v>175</v>
      </c>
      <c r="L62" s="125"/>
      <c r="AA62" s="24"/>
      <c r="AB62" s="31">
        <v>16</v>
      </c>
      <c r="AC62" s="22">
        <v>70</v>
      </c>
      <c r="AD62" s="22">
        <v>71</v>
      </c>
      <c r="AE62" s="22">
        <v>71</v>
      </c>
      <c r="AF62" s="22">
        <v>69</v>
      </c>
      <c r="AG62" s="22">
        <v>70</v>
      </c>
      <c r="AH62" s="22">
        <v>70</v>
      </c>
      <c r="AI62" s="22">
        <v>69</v>
      </c>
      <c r="AJ62" s="22">
        <v>69</v>
      </c>
      <c r="AK62" s="22">
        <v>70</v>
      </c>
      <c r="AL62" s="22">
        <v>71</v>
      </c>
      <c r="AM62" s="22">
        <v>74</v>
      </c>
      <c r="AN62" s="22">
        <v>76</v>
      </c>
      <c r="AO62" s="22">
        <v>79</v>
      </c>
      <c r="AP62" s="21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  <c r="EH62" s="24"/>
      <c r="EI62" s="24"/>
      <c r="EJ62" s="24"/>
      <c r="EK62" s="24"/>
      <c r="EL62" s="24"/>
      <c r="EM62" s="24"/>
      <c r="EN62" s="24"/>
      <c r="EO62" s="24"/>
      <c r="EP62" s="24"/>
      <c r="EQ62" s="24"/>
      <c r="ER62" s="24"/>
      <c r="ES62" s="24"/>
      <c r="ET62" s="24"/>
      <c r="EU62" s="24"/>
      <c r="EV62" s="24"/>
      <c r="EW62" s="24"/>
      <c r="EX62" s="24"/>
      <c r="EY62" s="24"/>
      <c r="EZ62" s="24"/>
    </row>
    <row r="63" spans="2:156" ht="14.5">
      <c r="B63" s="66">
        <v>116</v>
      </c>
      <c r="C63" s="125"/>
      <c r="E63" s="66">
        <v>136</v>
      </c>
      <c r="F63" s="125"/>
      <c r="H63" s="66">
        <v>156</v>
      </c>
      <c r="I63" s="125"/>
      <c r="K63" s="66">
        <v>176</v>
      </c>
      <c r="L63" s="125"/>
      <c r="AA63" s="24"/>
      <c r="AB63" s="31">
        <v>17</v>
      </c>
      <c r="AC63" s="22">
        <v>70</v>
      </c>
      <c r="AD63" s="22">
        <v>71</v>
      </c>
      <c r="AE63" s="22">
        <v>71</v>
      </c>
      <c r="AF63" s="22">
        <v>69</v>
      </c>
      <c r="AG63" s="22">
        <v>70</v>
      </c>
      <c r="AH63" s="22">
        <v>70</v>
      </c>
      <c r="AI63" s="22">
        <v>69</v>
      </c>
      <c r="AJ63" s="22">
        <v>69</v>
      </c>
      <c r="AK63" s="22">
        <v>70</v>
      </c>
      <c r="AL63" s="22">
        <v>71</v>
      </c>
      <c r="AM63" s="22">
        <v>74</v>
      </c>
      <c r="AN63" s="22">
        <v>76</v>
      </c>
      <c r="AO63" s="22">
        <v>79</v>
      </c>
      <c r="AP63" s="21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  <c r="EW63" s="24"/>
      <c r="EX63" s="24"/>
      <c r="EY63" s="24"/>
      <c r="EZ63" s="24"/>
    </row>
    <row r="64" spans="2:156">
      <c r="AA64" s="24"/>
      <c r="AB64" s="31">
        <v>18</v>
      </c>
      <c r="AC64" s="22">
        <v>70</v>
      </c>
      <c r="AD64" s="22">
        <v>71</v>
      </c>
      <c r="AE64" s="22">
        <v>71</v>
      </c>
      <c r="AF64" s="22">
        <v>69</v>
      </c>
      <c r="AG64" s="22">
        <v>70</v>
      </c>
      <c r="AH64" s="22">
        <v>70</v>
      </c>
      <c r="AI64" s="22">
        <v>69</v>
      </c>
      <c r="AJ64" s="22">
        <v>69</v>
      </c>
      <c r="AK64" s="22">
        <v>70</v>
      </c>
      <c r="AL64" s="22">
        <v>71</v>
      </c>
      <c r="AM64" s="22">
        <v>74</v>
      </c>
      <c r="AN64" s="22">
        <v>76</v>
      </c>
      <c r="AO64" s="22">
        <v>79</v>
      </c>
      <c r="AP64" s="21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  <c r="EW64" s="24"/>
      <c r="EX64" s="24"/>
      <c r="EY64" s="24"/>
      <c r="EZ64" s="24"/>
    </row>
    <row r="65" spans="2:156" hidden="1">
      <c r="AA65" s="24"/>
      <c r="AB65" s="31">
        <v>19</v>
      </c>
      <c r="AC65" s="22">
        <v>70</v>
      </c>
      <c r="AD65" s="22">
        <v>71</v>
      </c>
      <c r="AE65" s="22">
        <v>71</v>
      </c>
      <c r="AF65" s="22">
        <v>69</v>
      </c>
      <c r="AG65" s="22">
        <v>70</v>
      </c>
      <c r="AH65" s="22">
        <v>70</v>
      </c>
      <c r="AI65" s="22">
        <v>69</v>
      </c>
      <c r="AJ65" s="22">
        <v>69</v>
      </c>
      <c r="AK65" s="22">
        <v>70</v>
      </c>
      <c r="AL65" s="22">
        <v>71</v>
      </c>
      <c r="AM65" s="22">
        <v>74</v>
      </c>
      <c r="AN65" s="22">
        <v>76</v>
      </c>
      <c r="AO65" s="22">
        <v>79</v>
      </c>
      <c r="AP65" s="21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24"/>
      <c r="ED65" s="24"/>
      <c r="EE65" s="24"/>
      <c r="EF65" s="24"/>
      <c r="EG65" s="24"/>
      <c r="EH65" s="24"/>
      <c r="EI65" s="24"/>
      <c r="EJ65" s="24"/>
      <c r="EK65" s="24"/>
      <c r="EL65" s="24"/>
      <c r="EM65" s="24"/>
      <c r="EN65" s="24"/>
      <c r="EO65" s="24"/>
      <c r="EP65" s="24"/>
      <c r="EQ65" s="24"/>
      <c r="ER65" s="24"/>
      <c r="ES65" s="24"/>
      <c r="ET65" s="24"/>
      <c r="EU65" s="24"/>
      <c r="EV65" s="24"/>
      <c r="EW65" s="24"/>
      <c r="EX65" s="24"/>
      <c r="EY65" s="24"/>
      <c r="EZ65" s="24"/>
    </row>
    <row r="66" spans="2:156" hidden="1">
      <c r="AA66" s="24"/>
      <c r="AB66" s="31">
        <v>20</v>
      </c>
      <c r="AC66" s="22">
        <v>70</v>
      </c>
      <c r="AD66" s="22">
        <v>71</v>
      </c>
      <c r="AE66" s="22">
        <v>71</v>
      </c>
      <c r="AF66" s="22">
        <v>69</v>
      </c>
      <c r="AG66" s="22">
        <v>70</v>
      </c>
      <c r="AH66" s="22">
        <v>70</v>
      </c>
      <c r="AI66" s="22">
        <v>69</v>
      </c>
      <c r="AJ66" s="22">
        <v>69</v>
      </c>
      <c r="AK66" s="22">
        <v>70</v>
      </c>
      <c r="AL66" s="22">
        <v>71</v>
      </c>
      <c r="AM66" s="22">
        <v>74</v>
      </c>
      <c r="AN66" s="22">
        <v>76</v>
      </c>
      <c r="AO66" s="22">
        <v>79</v>
      </c>
      <c r="AP66" s="21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4"/>
      <c r="EY66" s="24"/>
      <c r="EZ66" s="24"/>
    </row>
    <row r="67" spans="2:156" hidden="1">
      <c r="AA67" s="24"/>
      <c r="AB67" s="31">
        <v>21</v>
      </c>
      <c r="AC67" s="22">
        <v>76</v>
      </c>
      <c r="AD67" s="22">
        <v>77</v>
      </c>
      <c r="AE67" s="22">
        <v>76</v>
      </c>
      <c r="AF67" s="22">
        <v>74</v>
      </c>
      <c r="AG67" s="22">
        <v>75</v>
      </c>
      <c r="AH67" s="22">
        <v>75</v>
      </c>
      <c r="AI67" s="22">
        <v>72</v>
      </c>
      <c r="AJ67" s="22">
        <v>72</v>
      </c>
      <c r="AK67" s="22">
        <v>74</v>
      </c>
      <c r="AL67" s="22">
        <v>75</v>
      </c>
      <c r="AM67" s="22">
        <v>78</v>
      </c>
      <c r="AN67" s="22">
        <v>80</v>
      </c>
      <c r="AO67" s="22">
        <v>81</v>
      </c>
      <c r="AP67" s="21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4"/>
      <c r="EH67" s="24"/>
      <c r="EI67" s="24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/>
      <c r="EW67" s="24"/>
      <c r="EX67" s="24"/>
      <c r="EY67" s="24"/>
      <c r="EZ67" s="24"/>
    </row>
    <row r="68" spans="2:156" hidden="1">
      <c r="AA68" s="24"/>
      <c r="AB68" s="31">
        <v>22</v>
      </c>
      <c r="AC68" s="22">
        <v>76</v>
      </c>
      <c r="AD68" s="22">
        <v>77</v>
      </c>
      <c r="AE68" s="22">
        <v>76</v>
      </c>
      <c r="AF68" s="22">
        <v>74</v>
      </c>
      <c r="AG68" s="22">
        <v>75</v>
      </c>
      <c r="AH68" s="22">
        <v>75</v>
      </c>
      <c r="AI68" s="22">
        <v>72</v>
      </c>
      <c r="AJ68" s="22">
        <v>72</v>
      </c>
      <c r="AK68" s="22">
        <v>74</v>
      </c>
      <c r="AL68" s="22">
        <v>75</v>
      </c>
      <c r="AM68" s="22">
        <v>78</v>
      </c>
      <c r="AN68" s="22">
        <v>80</v>
      </c>
      <c r="AO68" s="22">
        <v>81</v>
      </c>
      <c r="AP68" s="21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4"/>
      <c r="ED68" s="24"/>
      <c r="EE68" s="24"/>
      <c r="EF68" s="24"/>
      <c r="EG68" s="24"/>
      <c r="EH68" s="24"/>
      <c r="EI68" s="24"/>
      <c r="EJ68" s="24"/>
      <c r="EK68" s="24"/>
      <c r="EL68" s="24"/>
      <c r="EM68" s="24"/>
      <c r="EN68" s="24"/>
      <c r="EO68" s="24"/>
      <c r="EP68" s="24"/>
      <c r="EQ68" s="24"/>
      <c r="ER68" s="24"/>
      <c r="ES68" s="24"/>
      <c r="ET68" s="24"/>
      <c r="EU68" s="24"/>
      <c r="EV68" s="24"/>
      <c r="EW68" s="24"/>
      <c r="EX68" s="24"/>
      <c r="EY68" s="24"/>
      <c r="EZ68" s="24"/>
    </row>
    <row r="69" spans="2:156" hidden="1">
      <c r="AA69" s="24"/>
      <c r="AB69" s="31">
        <v>23</v>
      </c>
      <c r="AC69" s="22">
        <v>76</v>
      </c>
      <c r="AD69" s="22">
        <v>77</v>
      </c>
      <c r="AE69" s="22">
        <v>76</v>
      </c>
      <c r="AF69" s="22">
        <v>74</v>
      </c>
      <c r="AG69" s="22">
        <v>75</v>
      </c>
      <c r="AH69" s="22">
        <v>75</v>
      </c>
      <c r="AI69" s="22">
        <v>72</v>
      </c>
      <c r="AJ69" s="22">
        <v>72</v>
      </c>
      <c r="AK69" s="22">
        <v>74</v>
      </c>
      <c r="AL69" s="22">
        <v>75</v>
      </c>
      <c r="AM69" s="22">
        <v>78</v>
      </c>
      <c r="AN69" s="22">
        <v>80</v>
      </c>
      <c r="AO69" s="22">
        <v>81</v>
      </c>
      <c r="AP69" s="21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J69" s="24"/>
      <c r="EK69" s="24"/>
      <c r="EL69" s="24"/>
      <c r="EM69" s="24"/>
      <c r="EN69" s="24"/>
      <c r="EO69" s="24"/>
      <c r="EP69" s="24"/>
      <c r="EQ69" s="24"/>
      <c r="ER69" s="24"/>
      <c r="ES69" s="24"/>
      <c r="ET69" s="24"/>
      <c r="EU69" s="24"/>
      <c r="EV69" s="24"/>
      <c r="EW69" s="24"/>
      <c r="EX69" s="24"/>
      <c r="EY69" s="24"/>
      <c r="EZ69" s="24"/>
    </row>
    <row r="70" spans="2:156" hidden="1">
      <c r="AA70" s="24"/>
      <c r="AB70" s="31">
        <v>24</v>
      </c>
      <c r="AC70" s="22">
        <v>76</v>
      </c>
      <c r="AD70" s="22">
        <v>77</v>
      </c>
      <c r="AE70" s="22">
        <v>76</v>
      </c>
      <c r="AF70" s="22">
        <v>74</v>
      </c>
      <c r="AG70" s="22">
        <v>75</v>
      </c>
      <c r="AH70" s="22">
        <v>75</v>
      </c>
      <c r="AI70" s="22">
        <v>72</v>
      </c>
      <c r="AJ70" s="22">
        <v>72</v>
      </c>
      <c r="AK70" s="22">
        <v>74</v>
      </c>
      <c r="AL70" s="22">
        <v>75</v>
      </c>
      <c r="AM70" s="22">
        <v>78</v>
      </c>
      <c r="AN70" s="22">
        <v>80</v>
      </c>
      <c r="AO70" s="22">
        <v>81</v>
      </c>
      <c r="AP70" s="21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/>
      <c r="EJ70" s="24"/>
      <c r="EK70" s="24"/>
      <c r="EL70" s="24"/>
      <c r="EM70" s="24"/>
      <c r="EN70" s="24"/>
      <c r="EO70" s="24"/>
      <c r="EP70" s="24"/>
      <c r="EQ70" s="24"/>
      <c r="ER70" s="24"/>
      <c r="ES70" s="24"/>
      <c r="ET70" s="24"/>
      <c r="EU70" s="24"/>
      <c r="EV70" s="24"/>
      <c r="EW70" s="24"/>
      <c r="EX70" s="24"/>
      <c r="EY70" s="24"/>
      <c r="EZ70" s="24"/>
    </row>
    <row r="71" spans="2:156" hidden="1">
      <c r="B71" s="131" t="s">
        <v>30</v>
      </c>
      <c r="C71" s="137" t="s">
        <v>29</v>
      </c>
      <c r="E71" s="131" t="s">
        <v>31</v>
      </c>
      <c r="F71" s="137" t="s">
        <v>29</v>
      </c>
      <c r="H71" s="131" t="s">
        <v>32</v>
      </c>
      <c r="I71" s="137" t="s">
        <v>29</v>
      </c>
      <c r="K71" s="135" t="s">
        <v>33</v>
      </c>
      <c r="N71" s="129" t="s">
        <v>35</v>
      </c>
      <c r="O71" s="135" t="s">
        <v>29</v>
      </c>
      <c r="Q71" s="141" t="s">
        <v>34</v>
      </c>
      <c r="R71" s="142"/>
      <c r="AA71" s="24"/>
      <c r="AB71" s="31">
        <v>25</v>
      </c>
      <c r="AC71" s="22">
        <v>76</v>
      </c>
      <c r="AD71" s="22">
        <v>77</v>
      </c>
      <c r="AE71" s="22">
        <v>76</v>
      </c>
      <c r="AF71" s="22">
        <v>74</v>
      </c>
      <c r="AG71" s="22">
        <v>75</v>
      </c>
      <c r="AH71" s="22">
        <v>75</v>
      </c>
      <c r="AI71" s="22">
        <v>72</v>
      </c>
      <c r="AJ71" s="22">
        <v>72</v>
      </c>
      <c r="AK71" s="22">
        <v>74</v>
      </c>
      <c r="AL71" s="22">
        <v>75</v>
      </c>
      <c r="AM71" s="22">
        <v>78</v>
      </c>
      <c r="AN71" s="22">
        <v>80</v>
      </c>
      <c r="AO71" s="22">
        <v>81</v>
      </c>
      <c r="AP71" s="21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4"/>
      <c r="EH71" s="24"/>
      <c r="EI71" s="24"/>
      <c r="EJ71" s="24"/>
      <c r="EK71" s="24"/>
      <c r="EL71" s="24"/>
      <c r="EM71" s="24"/>
      <c r="EN71" s="24"/>
      <c r="EO71" s="24"/>
      <c r="EP71" s="24"/>
      <c r="EQ71" s="24"/>
      <c r="ER71" s="24"/>
      <c r="ES71" s="24"/>
      <c r="ET71" s="24"/>
      <c r="EU71" s="24"/>
      <c r="EV71" s="24"/>
      <c r="EW71" s="24"/>
      <c r="EX71" s="24"/>
      <c r="EY71" s="24"/>
      <c r="EZ71" s="24"/>
    </row>
    <row r="72" spans="2:156" hidden="1">
      <c r="B72" s="131"/>
      <c r="C72" s="137"/>
      <c r="E72" s="131"/>
      <c r="F72" s="137"/>
      <c r="H72" s="131"/>
      <c r="I72" s="137"/>
      <c r="K72" s="136"/>
      <c r="N72" s="130"/>
      <c r="O72" s="136"/>
      <c r="Q72" s="143"/>
      <c r="R72" s="144"/>
      <c r="AA72" s="24"/>
      <c r="AB72" s="31">
        <v>26</v>
      </c>
      <c r="AC72" s="22">
        <v>76</v>
      </c>
      <c r="AD72" s="22">
        <v>77</v>
      </c>
      <c r="AE72" s="22">
        <v>76</v>
      </c>
      <c r="AF72" s="22">
        <v>74</v>
      </c>
      <c r="AG72" s="22">
        <v>75</v>
      </c>
      <c r="AH72" s="22">
        <v>75</v>
      </c>
      <c r="AI72" s="22">
        <v>72</v>
      </c>
      <c r="AJ72" s="22">
        <v>72</v>
      </c>
      <c r="AK72" s="22">
        <v>74</v>
      </c>
      <c r="AL72" s="22">
        <v>75</v>
      </c>
      <c r="AM72" s="22">
        <v>78</v>
      </c>
      <c r="AN72" s="22">
        <v>80</v>
      </c>
      <c r="AO72" s="22">
        <v>81</v>
      </c>
      <c r="AP72" s="21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/>
      <c r="EC72" s="24"/>
      <c r="ED72" s="24"/>
      <c r="EE72" s="24"/>
      <c r="EF72" s="24"/>
      <c r="EG72" s="24"/>
      <c r="EH72" s="24"/>
      <c r="EI72" s="24"/>
      <c r="EJ72" s="24"/>
      <c r="EK72" s="24"/>
      <c r="EL72" s="24"/>
      <c r="EM72" s="24"/>
      <c r="EN72" s="24"/>
      <c r="EO72" s="24"/>
      <c r="EP72" s="24"/>
      <c r="EQ72" s="24"/>
      <c r="ER72" s="24"/>
      <c r="ES72" s="24"/>
      <c r="ET72" s="24"/>
      <c r="EU72" s="24"/>
      <c r="EV72" s="24"/>
      <c r="EW72" s="24"/>
      <c r="EX72" s="24"/>
      <c r="EY72" s="24"/>
      <c r="EZ72" s="24"/>
    </row>
    <row r="73" spans="2:156" hidden="1">
      <c r="B73" s="9" t="s">
        <v>24</v>
      </c>
      <c r="C73" s="9">
        <f>IF(C18=B73,1,0)</f>
        <v>0</v>
      </c>
      <c r="E73" s="9" t="s">
        <v>28</v>
      </c>
      <c r="F73" s="9">
        <f>IF(F18=E73,1,0)</f>
        <v>0</v>
      </c>
      <c r="H73" s="9" t="s">
        <v>25</v>
      </c>
      <c r="I73" s="9">
        <f>IF(I18=H73,1,0)</f>
        <v>0</v>
      </c>
      <c r="K73" s="9">
        <f>IF(L18="bunga",2,IF(L18="kembang",2,IF(L18="perdu",2,IF(L18="tumbuh-tumbuhan",1,IF(L18="tumbuhan",1,IF(L18="tanaman",1,IF(L18="tangkai",1,IF(L18="harum",1,0))))))))</f>
        <v>0</v>
      </c>
      <c r="N73" s="9">
        <v>35</v>
      </c>
      <c r="O73" s="9">
        <f>IF(O18=35,1,IF(O18=53,1,0))</f>
        <v>0</v>
      </c>
      <c r="Q73" s="9">
        <v>0</v>
      </c>
      <c r="R73" s="14">
        <v>0</v>
      </c>
      <c r="AA73" s="24"/>
      <c r="AB73" s="31">
        <v>27</v>
      </c>
      <c r="AC73" s="22">
        <v>76</v>
      </c>
      <c r="AD73" s="22">
        <v>77</v>
      </c>
      <c r="AE73" s="22">
        <v>76</v>
      </c>
      <c r="AF73" s="22">
        <v>74</v>
      </c>
      <c r="AG73" s="22">
        <v>75</v>
      </c>
      <c r="AH73" s="22">
        <v>75</v>
      </c>
      <c r="AI73" s="22">
        <v>72</v>
      </c>
      <c r="AJ73" s="22">
        <v>72</v>
      </c>
      <c r="AK73" s="22">
        <v>74</v>
      </c>
      <c r="AL73" s="22">
        <v>75</v>
      </c>
      <c r="AM73" s="22">
        <v>78</v>
      </c>
      <c r="AN73" s="22">
        <v>80</v>
      </c>
      <c r="AO73" s="22">
        <v>81</v>
      </c>
      <c r="AP73" s="21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4"/>
      <c r="EY73" s="24"/>
      <c r="EZ73" s="24"/>
    </row>
    <row r="74" spans="2:156" hidden="1">
      <c r="B74" s="9" t="s">
        <v>25</v>
      </c>
      <c r="C74" s="9">
        <f t="shared" ref="C74:C92" si="4">IF(C19=B74,1,0)</f>
        <v>0</v>
      </c>
      <c r="E74" s="9" t="s">
        <v>27</v>
      </c>
      <c r="F74" s="9">
        <f t="shared" ref="F74:F92" si="5">IF(F19=E74,1,0)</f>
        <v>0</v>
      </c>
      <c r="H74" s="9" t="s">
        <v>24</v>
      </c>
      <c r="I74" s="9">
        <f t="shared" ref="I74:I92" si="6">IF(I19=H74,1,0)</f>
        <v>0</v>
      </c>
      <c r="K74" s="9">
        <f>IF(L19="alat indra",2,IF(L19="indra",2,IF(L19="panca indra",2,IF(L19="organ",1,IF(L19="organ tubuh",1,IF(L19="alat tubuh",1,IF(L19="bagian tubuh",1,0)))))))</f>
        <v>0</v>
      </c>
      <c r="N74" s="9">
        <v>280</v>
      </c>
      <c r="O74" s="9">
        <f>IF(O19=280,1,IF(O19=208,1,IF(O19=28,1,IF(O19=82,1,IF(O19=802,1,IF(O19=820,1,0))))))</f>
        <v>0</v>
      </c>
      <c r="Q74" s="9">
        <v>1</v>
      </c>
      <c r="R74" s="14">
        <v>1</v>
      </c>
      <c r="AA74" s="24"/>
      <c r="AB74" s="31">
        <v>28</v>
      </c>
      <c r="AC74" s="22">
        <v>76</v>
      </c>
      <c r="AD74" s="22">
        <v>77</v>
      </c>
      <c r="AE74" s="22">
        <v>76</v>
      </c>
      <c r="AF74" s="22">
        <v>74</v>
      </c>
      <c r="AG74" s="22">
        <v>75</v>
      </c>
      <c r="AH74" s="22">
        <v>75</v>
      </c>
      <c r="AI74" s="22">
        <v>72</v>
      </c>
      <c r="AJ74" s="22">
        <v>72</v>
      </c>
      <c r="AK74" s="22">
        <v>74</v>
      </c>
      <c r="AL74" s="22">
        <v>75</v>
      </c>
      <c r="AM74" s="22">
        <v>78</v>
      </c>
      <c r="AN74" s="22">
        <v>80</v>
      </c>
      <c r="AO74" s="22">
        <v>81</v>
      </c>
      <c r="AP74" s="21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4"/>
      <c r="EH74" s="24"/>
      <c r="EI74" s="24"/>
      <c r="EJ74" s="24"/>
      <c r="EK74" s="24"/>
      <c r="EL74" s="24"/>
      <c r="EM74" s="24"/>
      <c r="EN74" s="24"/>
      <c r="EO74" s="24"/>
      <c r="EP74" s="24"/>
      <c r="EQ74" s="24"/>
      <c r="ER74" s="24"/>
      <c r="ES74" s="24"/>
      <c r="ET74" s="24"/>
      <c r="EU74" s="24"/>
      <c r="EV74" s="24"/>
      <c r="EW74" s="24"/>
      <c r="EX74" s="24"/>
      <c r="EY74" s="24"/>
      <c r="EZ74" s="24"/>
    </row>
    <row r="75" spans="2:156" hidden="1">
      <c r="B75" s="9" t="s">
        <v>26</v>
      </c>
      <c r="C75" s="9">
        <f t="shared" si="4"/>
        <v>0</v>
      </c>
      <c r="E75" s="9" t="s">
        <v>26</v>
      </c>
      <c r="F75" s="9">
        <f t="shared" si="5"/>
        <v>0</v>
      </c>
      <c r="H75" s="9" t="s">
        <v>26</v>
      </c>
      <c r="I75" s="9">
        <f t="shared" si="6"/>
        <v>0</v>
      </c>
      <c r="K75" s="9">
        <f>IF(L20="hablur",2,IF(L20="kristal",2,IF(L20="zat arang",2,IF(L20="berkilau",1,IF(L20="berkilauanan",1,IF(L20="mengkilat",1,IF(L20="bening",1,0)))))))</f>
        <v>0</v>
      </c>
      <c r="N75" s="9">
        <v>250</v>
      </c>
      <c r="O75" s="9">
        <f>IF(O20=250,1,IF(O20=205,1,IF(O20=25,1,IF(O20=52,1,IF(O20=502,1,IF(O20=520,1,0))))))</f>
        <v>0</v>
      </c>
      <c r="Q75" s="9">
        <v>2</v>
      </c>
      <c r="R75" s="14">
        <v>2</v>
      </c>
      <c r="AA75" s="24"/>
      <c r="AB75" s="31">
        <v>29</v>
      </c>
      <c r="AC75" s="22">
        <v>76</v>
      </c>
      <c r="AD75" s="22">
        <v>77</v>
      </c>
      <c r="AE75" s="22">
        <v>76</v>
      </c>
      <c r="AF75" s="22">
        <v>74</v>
      </c>
      <c r="AG75" s="22">
        <v>75</v>
      </c>
      <c r="AH75" s="22">
        <v>75</v>
      </c>
      <c r="AI75" s="22">
        <v>72</v>
      </c>
      <c r="AJ75" s="22">
        <v>72</v>
      </c>
      <c r="AK75" s="22">
        <v>74</v>
      </c>
      <c r="AL75" s="22">
        <v>75</v>
      </c>
      <c r="AM75" s="22">
        <v>78</v>
      </c>
      <c r="AN75" s="22">
        <v>80</v>
      </c>
      <c r="AO75" s="22">
        <v>81</v>
      </c>
      <c r="AP75" s="21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  <c r="EW75" s="24"/>
      <c r="EX75" s="24"/>
      <c r="EY75" s="24"/>
      <c r="EZ75" s="24"/>
    </row>
    <row r="76" spans="2:156" hidden="1">
      <c r="B76" s="9" t="s">
        <v>26</v>
      </c>
      <c r="C76" s="9">
        <f t="shared" si="4"/>
        <v>0</v>
      </c>
      <c r="E76" s="9" t="s">
        <v>25</v>
      </c>
      <c r="F76" s="9">
        <f t="shared" si="5"/>
        <v>0</v>
      </c>
      <c r="H76" s="9" t="s">
        <v>26</v>
      </c>
      <c r="I76" s="9">
        <f t="shared" si="6"/>
        <v>0</v>
      </c>
      <c r="K76" s="9">
        <f>IF(L21="cuaca",2,IF(L21="musim",2,IF(L21="air",1,IF(L21="basah",1,IF(L21="gejala alam",1,0)))))</f>
        <v>0</v>
      </c>
      <c r="N76" s="9">
        <v>26</v>
      </c>
      <c r="O76" s="9">
        <f>IF(O21=26,1,IF(O21=62,1,0))</f>
        <v>0</v>
      </c>
      <c r="Q76" s="9">
        <v>3</v>
      </c>
      <c r="R76" s="14">
        <v>3</v>
      </c>
      <c r="AA76" s="24"/>
      <c r="AB76" s="31">
        <v>30</v>
      </c>
      <c r="AC76" s="22">
        <v>76</v>
      </c>
      <c r="AD76" s="22">
        <v>77</v>
      </c>
      <c r="AE76" s="22">
        <v>76</v>
      </c>
      <c r="AF76" s="22">
        <v>74</v>
      </c>
      <c r="AG76" s="22">
        <v>75</v>
      </c>
      <c r="AH76" s="22">
        <v>75</v>
      </c>
      <c r="AI76" s="22">
        <v>72</v>
      </c>
      <c r="AJ76" s="22">
        <v>72</v>
      </c>
      <c r="AK76" s="22">
        <v>74</v>
      </c>
      <c r="AL76" s="22">
        <v>75</v>
      </c>
      <c r="AM76" s="22">
        <v>78</v>
      </c>
      <c r="AN76" s="22">
        <v>80</v>
      </c>
      <c r="AO76" s="22">
        <v>81</v>
      </c>
      <c r="AP76" s="21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4"/>
      <c r="EY76" s="24"/>
      <c r="EZ76" s="24"/>
    </row>
    <row r="77" spans="2:156" hidden="1">
      <c r="B77" s="42" t="s">
        <v>24</v>
      </c>
      <c r="C77" s="9">
        <f t="shared" si="4"/>
        <v>0</v>
      </c>
      <c r="E77" s="9" t="s">
        <v>25</v>
      </c>
      <c r="F77" s="9">
        <f t="shared" si="5"/>
        <v>0</v>
      </c>
      <c r="H77" s="9" t="s">
        <v>26</v>
      </c>
      <c r="I77" s="9">
        <f t="shared" si="6"/>
        <v>0</v>
      </c>
      <c r="K77" s="9">
        <f>IF(L22="pembawa berita",2,IF(L22="alat perhubungan",2,IF(L22="alat komunikasi",2,IF(L22="pos",1,IF(L22="p.t.t",1,IF(L22="telekomunikasi",1,IF(L22="perhubungan",1,IF(L22="komunikasi",1,0))))))))</f>
        <v>0</v>
      </c>
      <c r="N77" s="9">
        <v>30</v>
      </c>
      <c r="O77" s="9">
        <f>IF(O22=30,1,IF(O22=3,1,0))</f>
        <v>0</v>
      </c>
      <c r="Q77" s="9">
        <v>4</v>
      </c>
      <c r="R77" s="14">
        <v>4</v>
      </c>
      <c r="AA77" s="24"/>
      <c r="AB77" s="31">
        <v>31</v>
      </c>
      <c r="AC77" s="22">
        <v>83</v>
      </c>
      <c r="AD77" s="22">
        <v>82</v>
      </c>
      <c r="AE77" s="22">
        <v>81</v>
      </c>
      <c r="AF77" s="22">
        <v>78</v>
      </c>
      <c r="AG77" s="22">
        <v>79</v>
      </c>
      <c r="AH77" s="22">
        <v>79</v>
      </c>
      <c r="AI77" s="22">
        <v>76</v>
      </c>
      <c r="AJ77" s="22">
        <v>76</v>
      </c>
      <c r="AK77" s="22">
        <v>77</v>
      </c>
      <c r="AL77" s="22">
        <v>79</v>
      </c>
      <c r="AM77" s="22">
        <v>81</v>
      </c>
      <c r="AN77" s="22">
        <v>83</v>
      </c>
      <c r="AO77" s="22">
        <v>85</v>
      </c>
      <c r="AP77" s="21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4"/>
      <c r="EI77" s="24"/>
      <c r="EJ77" s="24"/>
      <c r="EK77" s="24"/>
      <c r="EL77" s="24"/>
      <c r="EM77" s="24"/>
      <c r="EN77" s="24"/>
      <c r="EO77" s="24"/>
      <c r="EP77" s="24"/>
      <c r="EQ77" s="24"/>
      <c r="ER77" s="24"/>
      <c r="ES77" s="24"/>
      <c r="ET77" s="24"/>
      <c r="EU77" s="24"/>
      <c r="EV77" s="24"/>
      <c r="EW77" s="24"/>
      <c r="EX77" s="24"/>
      <c r="EY77" s="24"/>
      <c r="EZ77" s="24"/>
    </row>
    <row r="78" spans="2:156" hidden="1">
      <c r="B78" s="9" t="s">
        <v>27</v>
      </c>
      <c r="C78" s="9">
        <f t="shared" si="4"/>
        <v>0</v>
      </c>
      <c r="E78" s="9" t="s">
        <v>25</v>
      </c>
      <c r="F78" s="9">
        <f t="shared" si="5"/>
        <v>0</v>
      </c>
      <c r="H78" s="9" t="s">
        <v>27</v>
      </c>
      <c r="I78" s="9">
        <f t="shared" si="6"/>
        <v>0</v>
      </c>
      <c r="K78" s="9">
        <f>IF(L23="alat optik",2,IF(L23="optik",2,IF(L23="lensa",1,0)))</f>
        <v>0</v>
      </c>
      <c r="N78" s="9">
        <v>70</v>
      </c>
      <c r="O78" s="9">
        <f>IF(O23=70,1,IF(O23=7,1,0))</f>
        <v>0</v>
      </c>
      <c r="Q78" s="9">
        <v>5</v>
      </c>
      <c r="R78" s="14">
        <v>5</v>
      </c>
      <c r="AA78" s="24"/>
      <c r="AB78" s="31">
        <v>32</v>
      </c>
      <c r="AC78" s="22">
        <v>83</v>
      </c>
      <c r="AD78" s="22">
        <v>82</v>
      </c>
      <c r="AE78" s="22">
        <v>81</v>
      </c>
      <c r="AF78" s="22">
        <v>78</v>
      </c>
      <c r="AG78" s="22">
        <v>79</v>
      </c>
      <c r="AH78" s="22">
        <v>79</v>
      </c>
      <c r="AI78" s="22">
        <v>76</v>
      </c>
      <c r="AJ78" s="22">
        <v>76</v>
      </c>
      <c r="AK78" s="22">
        <v>77</v>
      </c>
      <c r="AL78" s="22">
        <v>79</v>
      </c>
      <c r="AM78" s="22">
        <v>81</v>
      </c>
      <c r="AN78" s="22">
        <v>83</v>
      </c>
      <c r="AO78" s="22">
        <v>85</v>
      </c>
      <c r="AP78" s="21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4"/>
      <c r="EH78" s="24"/>
      <c r="EI78" s="24"/>
      <c r="EJ78" s="24"/>
      <c r="EK78" s="24"/>
      <c r="EL78" s="24"/>
      <c r="EM78" s="24"/>
      <c r="EN78" s="24"/>
      <c r="EO78" s="24"/>
      <c r="EP78" s="24"/>
      <c r="EQ78" s="24"/>
      <c r="ER78" s="24"/>
      <c r="ES78" s="24"/>
      <c r="ET78" s="24"/>
      <c r="EU78" s="24"/>
      <c r="EV78" s="24"/>
      <c r="EW78" s="24"/>
      <c r="EX78" s="24"/>
      <c r="EY78" s="24"/>
      <c r="EZ78" s="24"/>
    </row>
    <row r="79" spans="2:156" hidden="1">
      <c r="B79" s="9" t="s">
        <v>25</v>
      </c>
      <c r="C79" s="9">
        <f t="shared" si="4"/>
        <v>0</v>
      </c>
      <c r="E79" s="9" t="s">
        <v>25</v>
      </c>
      <c r="F79" s="9">
        <f t="shared" si="5"/>
        <v>0</v>
      </c>
      <c r="H79" s="9" t="s">
        <v>26</v>
      </c>
      <c r="I79" s="9">
        <f t="shared" si="6"/>
        <v>0</v>
      </c>
      <c r="K79" s="9">
        <f>IF(L24="alat pencernaan",2,IF(L24="jalan makanan",1,IF(L24="perut",1,IF(L24="isi perut",1,IF(L24="pencernaan",1,IF(L24="pencernaan makanan",1,0))))))</f>
        <v>0</v>
      </c>
      <c r="N79" s="9">
        <v>45</v>
      </c>
      <c r="O79" s="9">
        <f>IF(O24=45,1,IF(O24=54,1,0))</f>
        <v>0</v>
      </c>
      <c r="Q79" s="9">
        <v>6</v>
      </c>
      <c r="R79" s="14">
        <v>5</v>
      </c>
      <c r="AA79" s="24"/>
      <c r="AB79" s="31">
        <v>33</v>
      </c>
      <c r="AC79" s="22">
        <v>83</v>
      </c>
      <c r="AD79" s="22">
        <v>82</v>
      </c>
      <c r="AE79" s="22">
        <v>81</v>
      </c>
      <c r="AF79" s="22">
        <v>78</v>
      </c>
      <c r="AG79" s="22">
        <v>79</v>
      </c>
      <c r="AH79" s="22">
        <v>79</v>
      </c>
      <c r="AI79" s="22">
        <v>76</v>
      </c>
      <c r="AJ79" s="22">
        <v>76</v>
      </c>
      <c r="AK79" s="22">
        <v>77</v>
      </c>
      <c r="AL79" s="22">
        <v>79</v>
      </c>
      <c r="AM79" s="22">
        <v>81</v>
      </c>
      <c r="AN79" s="22">
        <v>83</v>
      </c>
      <c r="AO79" s="22">
        <v>85</v>
      </c>
      <c r="AP79" s="21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4"/>
      <c r="EC79" s="24"/>
      <c r="ED79" s="24"/>
      <c r="EE79" s="24"/>
      <c r="EF79" s="24"/>
      <c r="EG79" s="24"/>
      <c r="EH79" s="24"/>
      <c r="EI79" s="24"/>
      <c r="EJ79" s="24"/>
      <c r="EK79" s="24"/>
      <c r="EL79" s="24"/>
      <c r="EM79" s="24"/>
      <c r="EN79" s="24"/>
      <c r="EO79" s="24"/>
      <c r="EP79" s="24"/>
      <c r="EQ79" s="24"/>
      <c r="ER79" s="24"/>
      <c r="ES79" s="24"/>
      <c r="ET79" s="24"/>
      <c r="EU79" s="24"/>
      <c r="EV79" s="24"/>
      <c r="EW79" s="24"/>
      <c r="EX79" s="24"/>
      <c r="EY79" s="24"/>
      <c r="EZ79" s="24"/>
    </row>
    <row r="80" spans="2:156" hidden="1">
      <c r="B80" s="9" t="s">
        <v>28</v>
      </c>
      <c r="C80" s="9">
        <f t="shared" si="4"/>
        <v>0</v>
      </c>
      <c r="E80" s="9" t="s">
        <v>26</v>
      </c>
      <c r="F80" s="9">
        <f t="shared" si="5"/>
        <v>0</v>
      </c>
      <c r="H80" s="9" t="s">
        <v>27</v>
      </c>
      <c r="I80" s="9">
        <f t="shared" si="6"/>
        <v>0</v>
      </c>
      <c r="K80" s="9">
        <f>IF(L25="penyebut jumlah",2,IF(L25="pengertian jumlah",2,IF(L25="jumlah",2,IF(L25="kuantitas",2,IF(L25="mengukur",1,IF(L25="ukuran",1,IF(L25="ukur",1,0)))))))</f>
        <v>0</v>
      </c>
      <c r="N80" s="9">
        <v>50</v>
      </c>
      <c r="O80" s="9">
        <f>IF(O25=50,1,IF(O25=5,1,0))</f>
        <v>0</v>
      </c>
      <c r="Q80" s="9">
        <v>7</v>
      </c>
      <c r="R80" s="14">
        <v>6</v>
      </c>
      <c r="AA80" s="24"/>
      <c r="AB80" s="31">
        <v>34</v>
      </c>
      <c r="AC80" s="22">
        <v>83</v>
      </c>
      <c r="AD80" s="22">
        <v>82</v>
      </c>
      <c r="AE80" s="22">
        <v>81</v>
      </c>
      <c r="AF80" s="22">
        <v>78</v>
      </c>
      <c r="AG80" s="22">
        <v>79</v>
      </c>
      <c r="AH80" s="22">
        <v>79</v>
      </c>
      <c r="AI80" s="22">
        <v>76</v>
      </c>
      <c r="AJ80" s="22">
        <v>76</v>
      </c>
      <c r="AK80" s="22">
        <v>77</v>
      </c>
      <c r="AL80" s="22">
        <v>79</v>
      </c>
      <c r="AM80" s="22">
        <v>81</v>
      </c>
      <c r="AN80" s="22">
        <v>83</v>
      </c>
      <c r="AO80" s="22">
        <v>85</v>
      </c>
      <c r="AP80" s="21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  <c r="EX80" s="24"/>
      <c r="EY80" s="24"/>
      <c r="EZ80" s="24"/>
    </row>
    <row r="81" spans="2:156" hidden="1">
      <c r="B81" s="9" t="s">
        <v>24</v>
      </c>
      <c r="C81" s="9">
        <f t="shared" si="4"/>
        <v>0</v>
      </c>
      <c r="E81" s="9" t="s">
        <v>26</v>
      </c>
      <c r="F81" s="9">
        <f t="shared" si="5"/>
        <v>0</v>
      </c>
      <c r="H81" s="9" t="s">
        <v>24</v>
      </c>
      <c r="I81" s="9">
        <f t="shared" si="6"/>
        <v>0</v>
      </c>
      <c r="K81" s="9">
        <f>IF(L26="bibit",2,IF(L26="bakal",2,IF(L26="alat pembiak",2,IF(L26="permulaan kehidupan",2,IF(L26="sel",1,IF(L26="pembiakan",1,IF(L26="perkembangbiakan",1,IF(L26="berkembangbiak",1,0))))))))</f>
        <v>0</v>
      </c>
      <c r="N81" s="9">
        <v>48</v>
      </c>
      <c r="O81" s="9">
        <f>IF(O26=48,1,IF(O26=84,1,0))</f>
        <v>0</v>
      </c>
      <c r="Q81" s="9">
        <v>8</v>
      </c>
      <c r="R81" s="14">
        <v>6</v>
      </c>
      <c r="AA81" s="24"/>
      <c r="AB81" s="31">
        <v>35</v>
      </c>
      <c r="AC81" s="22">
        <v>83</v>
      </c>
      <c r="AD81" s="22">
        <v>82</v>
      </c>
      <c r="AE81" s="22">
        <v>81</v>
      </c>
      <c r="AF81" s="22">
        <v>78</v>
      </c>
      <c r="AG81" s="22">
        <v>79</v>
      </c>
      <c r="AH81" s="22">
        <v>79</v>
      </c>
      <c r="AI81" s="22">
        <v>76</v>
      </c>
      <c r="AJ81" s="22">
        <v>76</v>
      </c>
      <c r="AK81" s="22">
        <v>77</v>
      </c>
      <c r="AL81" s="22">
        <v>79</v>
      </c>
      <c r="AM81" s="22">
        <v>81</v>
      </c>
      <c r="AN81" s="22">
        <v>83</v>
      </c>
      <c r="AO81" s="22">
        <v>85</v>
      </c>
      <c r="AP81" s="21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24"/>
      <c r="EQ81" s="24"/>
      <c r="ER81" s="24"/>
      <c r="ES81" s="24"/>
      <c r="ET81" s="24"/>
      <c r="EU81" s="24"/>
      <c r="EV81" s="24"/>
      <c r="EW81" s="24"/>
      <c r="EX81" s="24"/>
      <c r="EY81" s="24"/>
      <c r="EZ81" s="24"/>
    </row>
    <row r="82" spans="2:156" hidden="1">
      <c r="B82" s="9" t="s">
        <v>27</v>
      </c>
      <c r="C82" s="9">
        <f t="shared" si="4"/>
        <v>0</v>
      </c>
      <c r="E82" s="9" t="s">
        <v>28</v>
      </c>
      <c r="F82" s="9">
        <f t="shared" si="5"/>
        <v>0</v>
      </c>
      <c r="H82" s="9" t="s">
        <v>26</v>
      </c>
      <c r="I82" s="9">
        <f t="shared" si="6"/>
        <v>0</v>
      </c>
      <c r="K82" s="9">
        <f>IF(L27="simbol",2,IF(L27="lambang",2,IF(L27="tanda",2,IF(L27="nama",1,IF(L27="pengenal",1,IF(L27="tanda pengenal",1,0))))))</f>
        <v>0</v>
      </c>
      <c r="N82" s="9">
        <v>78</v>
      </c>
      <c r="O82" s="9">
        <f>IF(O27=78,1,IF(O27=87,1,0))</f>
        <v>0</v>
      </c>
      <c r="Q82" s="9">
        <v>9</v>
      </c>
      <c r="R82" s="14">
        <v>7</v>
      </c>
      <c r="AA82" s="24"/>
      <c r="AB82" s="31">
        <v>36</v>
      </c>
      <c r="AC82" s="22">
        <v>83</v>
      </c>
      <c r="AD82" s="22">
        <v>82</v>
      </c>
      <c r="AE82" s="22">
        <v>81</v>
      </c>
      <c r="AF82" s="22">
        <v>78</v>
      </c>
      <c r="AG82" s="22">
        <v>79</v>
      </c>
      <c r="AH82" s="22">
        <v>79</v>
      </c>
      <c r="AI82" s="22">
        <v>76</v>
      </c>
      <c r="AJ82" s="22">
        <v>76</v>
      </c>
      <c r="AK82" s="22">
        <v>77</v>
      </c>
      <c r="AL82" s="22">
        <v>79</v>
      </c>
      <c r="AM82" s="22">
        <v>81</v>
      </c>
      <c r="AN82" s="22">
        <v>83</v>
      </c>
      <c r="AO82" s="22">
        <v>85</v>
      </c>
      <c r="AP82" s="21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/>
      <c r="DZ82" s="24"/>
      <c r="EA82" s="24"/>
      <c r="EB82" s="24"/>
      <c r="EC82" s="24"/>
      <c r="ED82" s="24"/>
      <c r="EE82" s="24"/>
      <c r="EF82" s="24"/>
      <c r="EG82" s="24"/>
      <c r="EH82" s="24"/>
      <c r="EI82" s="24"/>
      <c r="EJ82" s="24"/>
      <c r="EK82" s="24"/>
      <c r="EL82" s="24"/>
      <c r="EM82" s="24"/>
      <c r="EN82" s="24"/>
      <c r="EO82" s="24"/>
      <c r="EP82" s="24"/>
      <c r="EQ82" s="24"/>
      <c r="ER82" s="24"/>
      <c r="ES82" s="24"/>
      <c r="ET82" s="24"/>
      <c r="EU82" s="24"/>
      <c r="EV82" s="24"/>
      <c r="EW82" s="24"/>
      <c r="EX82" s="24"/>
      <c r="EY82" s="24"/>
      <c r="EZ82" s="24"/>
    </row>
    <row r="83" spans="2:156" hidden="1">
      <c r="B83" s="9" t="s">
        <v>25</v>
      </c>
      <c r="C83" s="9">
        <f t="shared" si="4"/>
        <v>0</v>
      </c>
      <c r="E83" s="9" t="s">
        <v>24</v>
      </c>
      <c r="F83" s="9">
        <f t="shared" si="5"/>
        <v>0</v>
      </c>
      <c r="H83" s="9" t="s">
        <v>25</v>
      </c>
      <c r="I83" s="9">
        <f t="shared" si="6"/>
        <v>0</v>
      </c>
      <c r="K83" s="9">
        <f>IF(L28="makhluk",2,IF(L28="makhluk hidup",2,IF(L28="organisme",2,IF(L28="tumbuh",1,IF(L28="biologi",1,IF(L28="ilmu hayat",1,IF(L28="ilmu hayati",1,0)))))))</f>
        <v>0</v>
      </c>
      <c r="N83" s="9">
        <v>19</v>
      </c>
      <c r="O83" s="9">
        <f>IF(O28=19,1,IF(O28=91,1,0))</f>
        <v>0</v>
      </c>
      <c r="Q83" s="9">
        <v>10</v>
      </c>
      <c r="R83" s="14">
        <v>7</v>
      </c>
      <c r="AA83" s="24"/>
      <c r="AB83" s="31">
        <v>37</v>
      </c>
      <c r="AC83" s="22">
        <v>83</v>
      </c>
      <c r="AD83" s="22">
        <v>82</v>
      </c>
      <c r="AE83" s="22">
        <v>81</v>
      </c>
      <c r="AF83" s="22">
        <v>78</v>
      </c>
      <c r="AG83" s="22">
        <v>79</v>
      </c>
      <c r="AH83" s="22">
        <v>79</v>
      </c>
      <c r="AI83" s="22">
        <v>76</v>
      </c>
      <c r="AJ83" s="22">
        <v>76</v>
      </c>
      <c r="AK83" s="22">
        <v>77</v>
      </c>
      <c r="AL83" s="22">
        <v>79</v>
      </c>
      <c r="AM83" s="22">
        <v>81</v>
      </c>
      <c r="AN83" s="22">
        <v>83</v>
      </c>
      <c r="AO83" s="22">
        <v>85</v>
      </c>
      <c r="AP83" s="21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24"/>
      <c r="DY83" s="24"/>
      <c r="DZ83" s="24"/>
      <c r="EA83" s="24"/>
      <c r="EB83" s="24"/>
      <c r="EC83" s="24"/>
      <c r="ED83" s="24"/>
      <c r="EE83" s="24"/>
      <c r="EF83" s="24"/>
      <c r="EG83" s="24"/>
      <c r="EH83" s="24"/>
      <c r="EI83" s="24"/>
      <c r="EJ83" s="24"/>
      <c r="EK83" s="24"/>
      <c r="EL83" s="24"/>
      <c r="EM83" s="24"/>
      <c r="EN83" s="24"/>
      <c r="EO83" s="24"/>
      <c r="EP83" s="24"/>
      <c r="EQ83" s="24"/>
      <c r="ER83" s="24"/>
      <c r="ES83" s="24"/>
      <c r="ET83" s="24"/>
      <c r="EU83" s="24"/>
      <c r="EV83" s="24"/>
      <c r="EW83" s="24"/>
      <c r="EX83" s="24"/>
      <c r="EY83" s="24"/>
      <c r="EZ83" s="24"/>
    </row>
    <row r="84" spans="2:156" hidden="1">
      <c r="B84" s="9" t="s">
        <v>26</v>
      </c>
      <c r="C84" s="9">
        <f t="shared" si="4"/>
        <v>0</v>
      </c>
      <c r="E84" s="9" t="s">
        <v>28</v>
      </c>
      <c r="F84" s="9">
        <f t="shared" si="5"/>
        <v>0</v>
      </c>
      <c r="H84" s="9" t="s">
        <v>25</v>
      </c>
      <c r="I84" s="9">
        <f t="shared" si="6"/>
        <v>0</v>
      </c>
      <c r="K84" s="9">
        <f>IF(L29="wadah",2,IF(L29="tempat mengisi",2,IF(L29="tempat penyimpan",2,IF(L29="tempat penyimpanan",2,IF(L29="tempat susuatu",1,IF(L29="alat",1,IF(L29="tempat",1,IF(L29="benda",1,0))))))))</f>
        <v>0</v>
      </c>
      <c r="N84" s="9">
        <v>6</v>
      </c>
      <c r="O84" s="9">
        <f>IF(O29=N84,1,0)</f>
        <v>0</v>
      </c>
      <c r="Q84" s="9">
        <v>11</v>
      </c>
      <c r="R84" s="14">
        <v>8</v>
      </c>
      <c r="AA84" s="24"/>
      <c r="AB84" s="31">
        <v>38</v>
      </c>
      <c r="AC84" s="22">
        <v>83</v>
      </c>
      <c r="AD84" s="22">
        <v>82</v>
      </c>
      <c r="AE84" s="22">
        <v>81</v>
      </c>
      <c r="AF84" s="22">
        <v>78</v>
      </c>
      <c r="AG84" s="22">
        <v>79</v>
      </c>
      <c r="AH84" s="22">
        <v>79</v>
      </c>
      <c r="AI84" s="22">
        <v>76</v>
      </c>
      <c r="AJ84" s="22">
        <v>76</v>
      </c>
      <c r="AK84" s="22">
        <v>77</v>
      </c>
      <c r="AL84" s="22">
        <v>79</v>
      </c>
      <c r="AM84" s="22">
        <v>81</v>
      </c>
      <c r="AN84" s="22">
        <v>83</v>
      </c>
      <c r="AO84" s="22">
        <v>85</v>
      </c>
      <c r="AP84" s="21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  <c r="DV84" s="24"/>
      <c r="DW84" s="24"/>
      <c r="DX84" s="24"/>
      <c r="DY84" s="24"/>
      <c r="DZ84" s="24"/>
      <c r="EA84" s="24"/>
      <c r="EB84" s="24"/>
      <c r="EC84" s="24"/>
      <c r="ED84" s="24"/>
      <c r="EE84" s="24"/>
      <c r="EF84" s="24"/>
      <c r="EG84" s="24"/>
      <c r="EH84" s="24"/>
      <c r="EI84" s="24"/>
      <c r="EJ84" s="24"/>
      <c r="EK84" s="24"/>
      <c r="EL84" s="24"/>
      <c r="EM84" s="24"/>
      <c r="EN84" s="24"/>
      <c r="EO84" s="24"/>
      <c r="EP84" s="24"/>
      <c r="EQ84" s="24"/>
      <c r="ER84" s="24"/>
      <c r="ES84" s="24"/>
      <c r="ET84" s="24"/>
      <c r="EU84" s="24"/>
      <c r="EV84" s="24"/>
      <c r="EW84" s="24"/>
      <c r="EX84" s="24"/>
      <c r="EY84" s="24"/>
      <c r="EZ84" s="24"/>
    </row>
    <row r="85" spans="2:156" hidden="1">
      <c r="B85" s="9" t="s">
        <v>26</v>
      </c>
      <c r="C85" s="9">
        <f t="shared" si="4"/>
        <v>0</v>
      </c>
      <c r="E85" s="9" t="s">
        <v>28</v>
      </c>
      <c r="F85" s="9">
        <f t="shared" si="5"/>
        <v>0</v>
      </c>
      <c r="H85" s="9" t="s">
        <v>25</v>
      </c>
      <c r="I85" s="9">
        <f t="shared" si="6"/>
        <v>0</v>
      </c>
      <c r="K85" s="9">
        <f>IF(L30="pengertian waktu",2,IF(L30="batas",2,IF(L30="batas waktu",2,IF(L30="waktu",1,IF(L30="masa",1,IF(L30="saat",1,IF(L30="lamanya",1,IF(L30="lama",1,0))))))))</f>
        <v>0</v>
      </c>
      <c r="N85" s="9">
        <v>57</v>
      </c>
      <c r="O85" s="9">
        <f>IF(O30=57,1,IF(O30=75,1,0))</f>
        <v>0</v>
      </c>
      <c r="Q85" s="9">
        <v>12</v>
      </c>
      <c r="R85" s="14">
        <v>8</v>
      </c>
      <c r="AA85" s="24"/>
      <c r="AB85" s="31">
        <v>39</v>
      </c>
      <c r="AC85" s="22">
        <v>83</v>
      </c>
      <c r="AD85" s="22">
        <v>82</v>
      </c>
      <c r="AE85" s="22">
        <v>81</v>
      </c>
      <c r="AF85" s="22">
        <v>78</v>
      </c>
      <c r="AG85" s="22">
        <v>79</v>
      </c>
      <c r="AH85" s="22">
        <v>79</v>
      </c>
      <c r="AI85" s="22">
        <v>76</v>
      </c>
      <c r="AJ85" s="22">
        <v>76</v>
      </c>
      <c r="AK85" s="22">
        <v>77</v>
      </c>
      <c r="AL85" s="22">
        <v>79</v>
      </c>
      <c r="AM85" s="22">
        <v>81</v>
      </c>
      <c r="AN85" s="22">
        <v>83</v>
      </c>
      <c r="AO85" s="22">
        <v>85</v>
      </c>
      <c r="AP85" s="21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/>
      <c r="DU85" s="24"/>
      <c r="DV85" s="24"/>
      <c r="DW85" s="24"/>
      <c r="DX85" s="24"/>
      <c r="DY85" s="24"/>
      <c r="DZ85" s="24"/>
      <c r="EA85" s="24"/>
      <c r="EB85" s="24"/>
      <c r="EC85" s="24"/>
      <c r="ED85" s="24"/>
      <c r="EE85" s="24"/>
      <c r="EF85" s="24"/>
      <c r="EG85" s="24"/>
      <c r="EH85" s="24"/>
      <c r="EI85" s="24"/>
      <c r="EJ85" s="24"/>
      <c r="EK85" s="24"/>
      <c r="EL85" s="24"/>
      <c r="EM85" s="24"/>
      <c r="EN85" s="24"/>
      <c r="EO85" s="24"/>
      <c r="EP85" s="24"/>
      <c r="EQ85" s="24"/>
      <c r="ER85" s="24"/>
      <c r="ES85" s="24"/>
      <c r="ET85" s="24"/>
      <c r="EU85" s="24"/>
      <c r="EV85" s="24"/>
      <c r="EW85" s="24"/>
      <c r="EX85" s="24"/>
      <c r="EY85" s="24"/>
      <c r="EZ85" s="24"/>
    </row>
    <row r="86" spans="2:156" hidden="1">
      <c r="B86" s="9" t="s">
        <v>24</v>
      </c>
      <c r="C86" s="9">
        <f t="shared" si="4"/>
        <v>0</v>
      </c>
      <c r="E86" s="9" t="s">
        <v>27</v>
      </c>
      <c r="F86" s="9">
        <f t="shared" si="5"/>
        <v>0</v>
      </c>
      <c r="H86" s="9" t="s">
        <v>25</v>
      </c>
      <c r="I86" s="9">
        <f t="shared" si="6"/>
        <v>0</v>
      </c>
      <c r="K86" s="9">
        <f>IF(L31="sifat-watak",2,IF(L31="sifat-karakter",2,IF(L31="karakter",2,IF(L31="watak",2,IF(L31="sifat",1,0)))))</f>
        <v>0</v>
      </c>
      <c r="N86" s="9">
        <v>90</v>
      </c>
      <c r="O86" s="9">
        <f>IF(O31=90,1,IF(O31=9,1,0))</f>
        <v>0</v>
      </c>
      <c r="Q86" s="9">
        <v>13</v>
      </c>
      <c r="R86" s="14">
        <v>9</v>
      </c>
      <c r="AA86" s="24"/>
      <c r="AB86" s="31">
        <v>40</v>
      </c>
      <c r="AC86" s="22">
        <v>83</v>
      </c>
      <c r="AD86" s="22">
        <v>82</v>
      </c>
      <c r="AE86" s="22">
        <v>81</v>
      </c>
      <c r="AF86" s="22">
        <v>78</v>
      </c>
      <c r="AG86" s="22">
        <v>79</v>
      </c>
      <c r="AH86" s="22">
        <v>79</v>
      </c>
      <c r="AI86" s="22">
        <v>76</v>
      </c>
      <c r="AJ86" s="22">
        <v>76</v>
      </c>
      <c r="AK86" s="22">
        <v>77</v>
      </c>
      <c r="AL86" s="22">
        <v>79</v>
      </c>
      <c r="AM86" s="22">
        <v>81</v>
      </c>
      <c r="AN86" s="22">
        <v>83</v>
      </c>
      <c r="AO86" s="22">
        <v>85</v>
      </c>
      <c r="AP86" s="21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DM86" s="24"/>
      <c r="DN86" s="24"/>
      <c r="DO86" s="24"/>
      <c r="DP86" s="24"/>
      <c r="DQ86" s="24"/>
      <c r="DR86" s="24"/>
      <c r="DS86" s="24"/>
      <c r="DT86" s="24"/>
      <c r="DU86" s="24"/>
      <c r="DV86" s="24"/>
      <c r="DW86" s="24"/>
      <c r="DX86" s="24"/>
      <c r="DY86" s="24"/>
      <c r="DZ86" s="24"/>
      <c r="EA86" s="24"/>
      <c r="EB86" s="24"/>
      <c r="EC86" s="24"/>
      <c r="ED86" s="24"/>
      <c r="EE86" s="24"/>
      <c r="EF86" s="24"/>
      <c r="EG86" s="24"/>
      <c r="EH86" s="24"/>
      <c r="EI86" s="24"/>
      <c r="EJ86" s="24"/>
      <c r="EK86" s="24"/>
      <c r="EL86" s="24"/>
      <c r="EM86" s="24"/>
      <c r="EN86" s="24"/>
      <c r="EO86" s="24"/>
      <c r="EP86" s="24"/>
      <c r="EQ86" s="24"/>
      <c r="ER86" s="24"/>
      <c r="ES86" s="24"/>
      <c r="ET86" s="24"/>
      <c r="EU86" s="24"/>
      <c r="EV86" s="24"/>
      <c r="EW86" s="24"/>
      <c r="EX86" s="24"/>
      <c r="EY86" s="24"/>
      <c r="EZ86" s="24"/>
    </row>
    <row r="87" spans="2:156" hidden="1">
      <c r="B87" s="9" t="s">
        <v>25</v>
      </c>
      <c r="C87" s="9">
        <f t="shared" si="4"/>
        <v>0</v>
      </c>
      <c r="E87" s="9" t="s">
        <v>25</v>
      </c>
      <c r="F87" s="9">
        <f t="shared" si="5"/>
        <v>0</v>
      </c>
      <c r="H87" s="9" t="s">
        <v>24</v>
      </c>
      <c r="I87" s="9">
        <f t="shared" si="6"/>
        <v>0</v>
      </c>
      <c r="K87" s="9">
        <f>IF(L32="regulator harga",2,IF(L32="regulasi harga",2,IF(L32="pengertian ekonomi",2,IF(L32="dagang",1,IF(L32="niaga",1,IF(L32="penjualan",1,IF(L32="pembelian",1,IF(L32="jual beli",1,0))))))))</f>
        <v>0</v>
      </c>
      <c r="N87" s="9">
        <v>120</v>
      </c>
      <c r="O87" s="9">
        <f>IF(O32=120,1,IF(O32=102,1,IF(O32=12,1,IF(O32=21,1,IF(O32=201,1,IF(O32=210,1,0))))))</f>
        <v>0</v>
      </c>
      <c r="Q87" s="9">
        <v>14</v>
      </c>
      <c r="R87" s="14">
        <v>9</v>
      </c>
      <c r="AA87" s="24"/>
      <c r="AB87" s="31">
        <v>41</v>
      </c>
      <c r="AC87" s="22">
        <v>89</v>
      </c>
      <c r="AD87" s="22">
        <v>88</v>
      </c>
      <c r="AE87" s="22">
        <v>86</v>
      </c>
      <c r="AF87" s="22">
        <v>82</v>
      </c>
      <c r="AG87" s="22">
        <v>83</v>
      </c>
      <c r="AH87" s="22">
        <v>82</v>
      </c>
      <c r="AI87" s="22">
        <v>80</v>
      </c>
      <c r="AJ87" s="22">
        <v>80</v>
      </c>
      <c r="AK87" s="22">
        <v>81</v>
      </c>
      <c r="AL87" s="22">
        <v>82</v>
      </c>
      <c r="AM87" s="22">
        <v>85</v>
      </c>
      <c r="AN87" s="22">
        <v>86</v>
      </c>
      <c r="AO87" s="22">
        <v>89</v>
      </c>
      <c r="AP87" s="21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  <c r="EH87" s="24"/>
      <c r="EI87" s="24"/>
      <c r="EJ87" s="24"/>
      <c r="EK87" s="24"/>
      <c r="EL87" s="24"/>
      <c r="EM87" s="24"/>
      <c r="EN87" s="24"/>
      <c r="EO87" s="24"/>
      <c r="EP87" s="24"/>
      <c r="EQ87" s="24"/>
      <c r="ER87" s="24"/>
      <c r="ES87" s="24"/>
      <c r="ET87" s="24"/>
      <c r="EU87" s="24"/>
      <c r="EV87" s="24"/>
      <c r="EW87" s="24"/>
      <c r="EX87" s="24"/>
      <c r="EY87" s="24"/>
      <c r="EZ87" s="24"/>
    </row>
    <row r="88" spans="2:156" hidden="1">
      <c r="B88" s="9" t="s">
        <v>28</v>
      </c>
      <c r="C88" s="9">
        <f t="shared" si="4"/>
        <v>0</v>
      </c>
      <c r="E88" s="9" t="s">
        <v>28</v>
      </c>
      <c r="F88" s="9">
        <f t="shared" si="5"/>
        <v>0</v>
      </c>
      <c r="H88" s="9" t="s">
        <v>25</v>
      </c>
      <c r="I88" s="9">
        <f t="shared" si="6"/>
        <v>0</v>
      </c>
      <c r="K88" s="9">
        <f>IF(L33="pengertian ruang",2,IF(L33="penyebut ruang",2,IF(L33="arah",1,IF(L33="letak",1,IF(L33="penentuan daerah",1,IF(L33="tempat",1,IF(L33="ruang",1,IF(L33="penunjuk tempat",1,0))))))))</f>
        <v>0</v>
      </c>
      <c r="N88" s="9">
        <v>17</v>
      </c>
      <c r="O88" s="9">
        <f>IF(O33=17,1,IF(O33=71,1,0))</f>
        <v>0</v>
      </c>
      <c r="Q88" s="9">
        <v>15</v>
      </c>
      <c r="R88" s="14">
        <v>10</v>
      </c>
      <c r="AA88" s="24"/>
      <c r="AB88" s="31">
        <v>42</v>
      </c>
      <c r="AC88" s="22">
        <v>89</v>
      </c>
      <c r="AD88" s="22">
        <v>88</v>
      </c>
      <c r="AE88" s="22">
        <v>86</v>
      </c>
      <c r="AF88" s="22">
        <v>82</v>
      </c>
      <c r="AG88" s="22">
        <v>83</v>
      </c>
      <c r="AH88" s="22">
        <v>82</v>
      </c>
      <c r="AI88" s="22">
        <v>80</v>
      </c>
      <c r="AJ88" s="22">
        <v>80</v>
      </c>
      <c r="AK88" s="22">
        <v>81</v>
      </c>
      <c r="AL88" s="22">
        <v>82</v>
      </c>
      <c r="AM88" s="22">
        <v>85</v>
      </c>
      <c r="AN88" s="22">
        <v>86</v>
      </c>
      <c r="AO88" s="22">
        <v>89</v>
      </c>
      <c r="AP88" s="21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4"/>
      <c r="DV88" s="24"/>
      <c r="DW88" s="24"/>
      <c r="DX88" s="24"/>
      <c r="DY88" s="24"/>
      <c r="DZ88" s="24"/>
      <c r="EA88" s="24"/>
      <c r="EB88" s="24"/>
      <c r="EC88" s="24"/>
      <c r="ED88" s="24"/>
      <c r="EE88" s="24"/>
      <c r="EF88" s="24"/>
      <c r="EG88" s="24"/>
      <c r="EH88" s="24"/>
      <c r="EI88" s="24"/>
      <c r="EJ88" s="24"/>
      <c r="EK88" s="24"/>
      <c r="EL88" s="24"/>
      <c r="EM88" s="24"/>
      <c r="EN88" s="24"/>
      <c r="EO88" s="24"/>
      <c r="EP88" s="24"/>
      <c r="EQ88" s="24"/>
      <c r="ER88" s="24"/>
      <c r="ES88" s="24"/>
      <c r="ET88" s="24"/>
      <c r="EU88" s="24"/>
      <c r="EV88" s="24"/>
      <c r="EW88" s="24"/>
      <c r="EX88" s="24"/>
      <c r="EY88" s="24"/>
      <c r="EZ88" s="24"/>
    </row>
    <row r="89" spans="2:156" ht="13" hidden="1">
      <c r="B89" s="9" t="s">
        <v>27</v>
      </c>
      <c r="C89" s="9">
        <f t="shared" si="4"/>
        <v>0</v>
      </c>
      <c r="E89" s="9" t="s">
        <v>26</v>
      </c>
      <c r="F89" s="9">
        <f t="shared" si="5"/>
        <v>0</v>
      </c>
      <c r="H89" s="9" t="s">
        <v>25</v>
      </c>
      <c r="I89" s="9">
        <f t="shared" si="6"/>
        <v>0</v>
      </c>
      <c r="K89" s="10">
        <f>SUM(K73:K88)</f>
        <v>0</v>
      </c>
      <c r="N89" s="9">
        <v>24</v>
      </c>
      <c r="O89" s="9">
        <f>IF(O34=24,1,IF(O34=42,1,0))</f>
        <v>0</v>
      </c>
      <c r="Q89" s="9">
        <v>16</v>
      </c>
      <c r="R89" s="14">
        <v>10</v>
      </c>
      <c r="AA89" s="24"/>
      <c r="AB89" s="31">
        <v>43</v>
      </c>
      <c r="AC89" s="22">
        <v>89</v>
      </c>
      <c r="AD89" s="22">
        <v>88</v>
      </c>
      <c r="AE89" s="22">
        <v>86</v>
      </c>
      <c r="AF89" s="22">
        <v>82</v>
      </c>
      <c r="AG89" s="22">
        <v>83</v>
      </c>
      <c r="AH89" s="22">
        <v>82</v>
      </c>
      <c r="AI89" s="22">
        <v>80</v>
      </c>
      <c r="AJ89" s="22">
        <v>80</v>
      </c>
      <c r="AK89" s="22">
        <v>81</v>
      </c>
      <c r="AL89" s="22">
        <v>82</v>
      </c>
      <c r="AM89" s="22">
        <v>85</v>
      </c>
      <c r="AN89" s="22">
        <v>86</v>
      </c>
      <c r="AO89" s="22">
        <v>89</v>
      </c>
      <c r="AP89" s="21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  <c r="DU89" s="24"/>
      <c r="DV89" s="24"/>
      <c r="DW89" s="24"/>
      <c r="DX89" s="24"/>
      <c r="DY89" s="24"/>
      <c r="DZ89" s="24"/>
      <c r="EA89" s="24"/>
      <c r="EB89" s="24"/>
      <c r="EC89" s="24"/>
      <c r="ED89" s="24"/>
      <c r="EE89" s="24"/>
      <c r="EF89" s="24"/>
      <c r="EG89" s="24"/>
      <c r="EH89" s="24"/>
      <c r="EI89" s="24"/>
      <c r="EJ89" s="24"/>
      <c r="EK89" s="24"/>
      <c r="EL89" s="24"/>
      <c r="EM89" s="24"/>
      <c r="EN89" s="24"/>
      <c r="EO89" s="24"/>
      <c r="EP89" s="24"/>
      <c r="EQ89" s="24"/>
      <c r="ER89" s="24"/>
      <c r="ES89" s="24"/>
      <c r="ET89" s="24"/>
      <c r="EU89" s="24"/>
      <c r="EV89" s="24"/>
      <c r="EW89" s="24"/>
      <c r="EX89" s="24"/>
      <c r="EY89" s="24"/>
      <c r="EZ89" s="24"/>
    </row>
    <row r="90" spans="2:156" ht="13" hidden="1">
      <c r="B90" s="9" t="s">
        <v>27</v>
      </c>
      <c r="C90" s="9">
        <f t="shared" si="4"/>
        <v>0</v>
      </c>
      <c r="E90" s="9" t="s">
        <v>24</v>
      </c>
      <c r="F90" s="9">
        <f t="shared" si="5"/>
        <v>0</v>
      </c>
      <c r="H90" s="9" t="s">
        <v>24</v>
      </c>
      <c r="I90" s="9">
        <f t="shared" si="6"/>
        <v>0</v>
      </c>
      <c r="K90" s="10">
        <f>IF(K89&gt;=31,20,VLOOKUP(K89,$Q$73:$R$103,2))</f>
        <v>0</v>
      </c>
      <c r="N90" s="9">
        <v>5</v>
      </c>
      <c r="O90" s="9">
        <f>IF(O35=N90,1,0)</f>
        <v>0</v>
      </c>
      <c r="Q90" s="9">
        <v>17</v>
      </c>
      <c r="R90" s="14">
        <v>11</v>
      </c>
      <c r="AA90" s="24"/>
      <c r="AB90" s="31">
        <v>44</v>
      </c>
      <c r="AC90" s="22">
        <v>89</v>
      </c>
      <c r="AD90" s="22">
        <v>88</v>
      </c>
      <c r="AE90" s="22">
        <v>86</v>
      </c>
      <c r="AF90" s="22">
        <v>82</v>
      </c>
      <c r="AG90" s="22">
        <v>83</v>
      </c>
      <c r="AH90" s="22">
        <v>82</v>
      </c>
      <c r="AI90" s="22">
        <v>80</v>
      </c>
      <c r="AJ90" s="22">
        <v>80</v>
      </c>
      <c r="AK90" s="22">
        <v>81</v>
      </c>
      <c r="AL90" s="22">
        <v>82</v>
      </c>
      <c r="AM90" s="22">
        <v>85</v>
      </c>
      <c r="AN90" s="22">
        <v>86</v>
      </c>
      <c r="AO90" s="22">
        <v>89</v>
      </c>
      <c r="AP90" s="21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4"/>
      <c r="DV90" s="24"/>
      <c r="DW90" s="24"/>
      <c r="DX90" s="24"/>
      <c r="DY90" s="24"/>
      <c r="DZ90" s="24"/>
      <c r="EA90" s="24"/>
      <c r="EB90" s="24"/>
      <c r="EC90" s="24"/>
      <c r="ED90" s="24"/>
      <c r="EE90" s="24"/>
      <c r="EF90" s="24"/>
      <c r="EG90" s="24"/>
      <c r="EH90" s="24"/>
      <c r="EI90" s="24"/>
      <c r="EJ90" s="24"/>
      <c r="EK90" s="24"/>
      <c r="EL90" s="24"/>
      <c r="EM90" s="24"/>
      <c r="EN90" s="24"/>
      <c r="EO90" s="24"/>
      <c r="EP90" s="24"/>
      <c r="EQ90" s="24"/>
      <c r="ER90" s="24"/>
      <c r="ES90" s="24"/>
      <c r="ET90" s="24"/>
      <c r="EU90" s="24"/>
      <c r="EV90" s="24"/>
      <c r="EW90" s="24"/>
      <c r="EX90" s="24"/>
      <c r="EY90" s="24"/>
      <c r="EZ90" s="24"/>
    </row>
    <row r="91" spans="2:156" hidden="1">
      <c r="B91" s="9" t="s">
        <v>25</v>
      </c>
      <c r="C91" s="9">
        <f t="shared" si="4"/>
        <v>0</v>
      </c>
      <c r="E91" s="9" t="s">
        <v>27</v>
      </c>
      <c r="F91" s="9">
        <f t="shared" si="5"/>
        <v>0</v>
      </c>
      <c r="H91" s="9" t="s">
        <v>24</v>
      </c>
      <c r="I91" s="9">
        <f t="shared" si="6"/>
        <v>0</v>
      </c>
      <c r="N91" s="9">
        <v>48</v>
      </c>
      <c r="O91" s="9">
        <f>IF(O36=48,1,IF(O36=84,1,0))</f>
        <v>0</v>
      </c>
      <c r="Q91" s="9">
        <v>18</v>
      </c>
      <c r="R91" s="14">
        <v>11</v>
      </c>
      <c r="AA91" s="24"/>
      <c r="AB91" s="31">
        <v>45</v>
      </c>
      <c r="AC91" s="22">
        <v>89</v>
      </c>
      <c r="AD91" s="22">
        <v>88</v>
      </c>
      <c r="AE91" s="22">
        <v>86</v>
      </c>
      <c r="AF91" s="22">
        <v>82</v>
      </c>
      <c r="AG91" s="22">
        <v>83</v>
      </c>
      <c r="AH91" s="22">
        <v>82</v>
      </c>
      <c r="AI91" s="22">
        <v>80</v>
      </c>
      <c r="AJ91" s="22">
        <v>80</v>
      </c>
      <c r="AK91" s="22">
        <v>81</v>
      </c>
      <c r="AL91" s="22">
        <v>82</v>
      </c>
      <c r="AM91" s="22">
        <v>85</v>
      </c>
      <c r="AN91" s="22">
        <v>86</v>
      </c>
      <c r="AO91" s="22">
        <v>89</v>
      </c>
      <c r="AP91" s="21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/>
      <c r="DP91" s="24"/>
      <c r="DQ91" s="24"/>
      <c r="DR91" s="24"/>
      <c r="DS91" s="24"/>
      <c r="DT91" s="24"/>
      <c r="DU91" s="24"/>
      <c r="DV91" s="24"/>
      <c r="DW91" s="24"/>
      <c r="DX91" s="24"/>
      <c r="DY91" s="24"/>
      <c r="DZ91" s="24"/>
      <c r="EA91" s="24"/>
      <c r="EB91" s="24"/>
      <c r="EC91" s="24"/>
      <c r="ED91" s="24"/>
      <c r="EE91" s="24"/>
      <c r="EF91" s="24"/>
      <c r="EG91" s="24"/>
      <c r="EH91" s="24"/>
      <c r="EI91" s="24"/>
      <c r="EJ91" s="24"/>
      <c r="EK91" s="24"/>
      <c r="EL91" s="24"/>
      <c r="EM91" s="24"/>
      <c r="EN91" s="24"/>
      <c r="EO91" s="24"/>
      <c r="EP91" s="24"/>
      <c r="EQ91" s="24"/>
      <c r="ER91" s="24"/>
      <c r="ES91" s="24"/>
      <c r="ET91" s="24"/>
      <c r="EU91" s="24"/>
      <c r="EV91" s="24"/>
      <c r="EW91" s="24"/>
      <c r="EX91" s="24"/>
      <c r="EY91" s="24"/>
      <c r="EZ91" s="24"/>
    </row>
    <row r="92" spans="2:156" hidden="1">
      <c r="B92" s="9" t="s">
        <v>28</v>
      </c>
      <c r="C92" s="9">
        <f t="shared" si="4"/>
        <v>0</v>
      </c>
      <c r="E92" s="9" t="s">
        <v>25</v>
      </c>
      <c r="F92" s="9">
        <f t="shared" si="5"/>
        <v>0</v>
      </c>
      <c r="H92" s="9" t="s">
        <v>24</v>
      </c>
      <c r="I92" s="9">
        <f t="shared" si="6"/>
        <v>0</v>
      </c>
      <c r="N92" s="9">
        <v>9</v>
      </c>
      <c r="O92" s="9">
        <f>IF(O37=N92,1,0)</f>
        <v>0</v>
      </c>
      <c r="Q92" s="9">
        <v>19</v>
      </c>
      <c r="R92" s="14">
        <v>12</v>
      </c>
      <c r="AA92" s="24"/>
      <c r="AB92" s="31">
        <v>46</v>
      </c>
      <c r="AC92" s="22">
        <v>89</v>
      </c>
      <c r="AD92" s="22">
        <v>88</v>
      </c>
      <c r="AE92" s="22">
        <v>86</v>
      </c>
      <c r="AF92" s="22">
        <v>82</v>
      </c>
      <c r="AG92" s="22">
        <v>83</v>
      </c>
      <c r="AH92" s="22">
        <v>82</v>
      </c>
      <c r="AI92" s="22">
        <v>80</v>
      </c>
      <c r="AJ92" s="22">
        <v>80</v>
      </c>
      <c r="AK92" s="22">
        <v>81</v>
      </c>
      <c r="AL92" s="22">
        <v>82</v>
      </c>
      <c r="AM92" s="22">
        <v>85</v>
      </c>
      <c r="AN92" s="22">
        <v>86</v>
      </c>
      <c r="AO92" s="22">
        <v>89</v>
      </c>
      <c r="AP92" s="21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4"/>
      <c r="DT92" s="24"/>
      <c r="DU92" s="24"/>
      <c r="DV92" s="24"/>
      <c r="DW92" s="24"/>
      <c r="DX92" s="24"/>
      <c r="DY92" s="24"/>
      <c r="DZ92" s="24"/>
      <c r="EA92" s="24"/>
      <c r="EB92" s="24"/>
      <c r="EC92" s="24"/>
      <c r="ED92" s="24"/>
      <c r="EE92" s="24"/>
      <c r="EF92" s="24"/>
      <c r="EG92" s="24"/>
      <c r="EH92" s="24"/>
      <c r="EI92" s="24"/>
      <c r="EJ92" s="24"/>
      <c r="EK92" s="24"/>
      <c r="EL92" s="24"/>
      <c r="EM92" s="24"/>
      <c r="EN92" s="24"/>
      <c r="EO92" s="24"/>
      <c r="EP92" s="24"/>
      <c r="EQ92" s="24"/>
      <c r="ER92" s="24"/>
      <c r="ES92" s="24"/>
      <c r="ET92" s="24"/>
      <c r="EU92" s="24"/>
      <c r="EV92" s="24"/>
      <c r="EW92" s="24"/>
      <c r="EX92" s="24"/>
      <c r="EY92" s="24"/>
      <c r="EZ92" s="24"/>
    </row>
    <row r="93" spans="2:156" ht="13" hidden="1">
      <c r="C93" s="10">
        <f>SUM(C73:C92)</f>
        <v>0</v>
      </c>
      <c r="F93" s="10">
        <f>SUM(F73:F92)</f>
        <v>0</v>
      </c>
      <c r="I93" s="10">
        <f>SUM(I73:I92)</f>
        <v>0</v>
      </c>
      <c r="O93" s="10">
        <f>SUM(O73:O92)</f>
        <v>0</v>
      </c>
      <c r="Q93" s="9">
        <v>20</v>
      </c>
      <c r="R93" s="14">
        <v>12</v>
      </c>
      <c r="AA93" s="24"/>
      <c r="AB93" s="31">
        <v>47</v>
      </c>
      <c r="AC93" s="22">
        <v>89</v>
      </c>
      <c r="AD93" s="22">
        <v>88</v>
      </c>
      <c r="AE93" s="22">
        <v>86</v>
      </c>
      <c r="AF93" s="22">
        <v>82</v>
      </c>
      <c r="AG93" s="22">
        <v>83</v>
      </c>
      <c r="AH93" s="22">
        <v>82</v>
      </c>
      <c r="AI93" s="22">
        <v>80</v>
      </c>
      <c r="AJ93" s="22">
        <v>80</v>
      </c>
      <c r="AK93" s="22">
        <v>81</v>
      </c>
      <c r="AL93" s="22">
        <v>82</v>
      </c>
      <c r="AM93" s="22">
        <v>85</v>
      </c>
      <c r="AN93" s="22">
        <v>86</v>
      </c>
      <c r="AO93" s="22">
        <v>89</v>
      </c>
      <c r="AP93" s="21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/>
      <c r="CH93" s="24"/>
      <c r="CI93" s="24"/>
      <c r="CJ93" s="24"/>
      <c r="CK93" s="24"/>
      <c r="CL93" s="24"/>
      <c r="CM93" s="24"/>
      <c r="CN93" s="24"/>
      <c r="CO93" s="24"/>
      <c r="CP93" s="24"/>
      <c r="CQ93" s="24"/>
      <c r="CR93" s="24"/>
      <c r="CS93" s="24"/>
      <c r="CT93" s="24"/>
      <c r="CU93" s="24"/>
      <c r="CV93" s="24"/>
      <c r="CW93" s="24"/>
      <c r="CX93" s="24"/>
      <c r="CY93" s="24"/>
      <c r="CZ93" s="24"/>
      <c r="DA93" s="24"/>
      <c r="DB93" s="24"/>
      <c r="DC93" s="24"/>
      <c r="DD93" s="24"/>
      <c r="DE93" s="24"/>
      <c r="DF93" s="24"/>
      <c r="DG93" s="24"/>
      <c r="DH93" s="24"/>
      <c r="DI93" s="24"/>
      <c r="DJ93" s="24"/>
      <c r="DK93" s="24"/>
      <c r="DL93" s="24"/>
      <c r="DM93" s="24"/>
      <c r="DN93" s="24"/>
      <c r="DO93" s="24"/>
      <c r="DP93" s="24"/>
      <c r="DQ93" s="24"/>
      <c r="DR93" s="24"/>
      <c r="DS93" s="24"/>
      <c r="DT93" s="24"/>
      <c r="DU93" s="24"/>
      <c r="DV93" s="24"/>
      <c r="DW93" s="24"/>
      <c r="DX93" s="24"/>
      <c r="DY93" s="24"/>
      <c r="DZ93" s="24"/>
      <c r="EA93" s="24"/>
      <c r="EB93" s="24"/>
      <c r="EC93" s="24"/>
      <c r="ED93" s="24"/>
      <c r="EE93" s="24"/>
      <c r="EF93" s="24"/>
      <c r="EG93" s="24"/>
      <c r="EH93" s="24"/>
      <c r="EI93" s="24"/>
      <c r="EJ93" s="24"/>
      <c r="EK93" s="24"/>
      <c r="EL93" s="24"/>
      <c r="EM93" s="24"/>
      <c r="EN93" s="24"/>
      <c r="EO93" s="24"/>
      <c r="EP93" s="24"/>
      <c r="EQ93" s="24"/>
      <c r="ER93" s="24"/>
      <c r="ES93" s="24"/>
      <c r="ET93" s="24"/>
      <c r="EU93" s="24"/>
      <c r="EV93" s="24"/>
      <c r="EW93" s="24"/>
      <c r="EX93" s="24"/>
      <c r="EY93" s="24"/>
      <c r="EZ93" s="24"/>
    </row>
    <row r="94" spans="2:156" hidden="1">
      <c r="Q94" s="9">
        <v>21</v>
      </c>
      <c r="R94" s="14">
        <v>13</v>
      </c>
      <c r="AA94" s="24"/>
      <c r="AB94" s="31">
        <v>48</v>
      </c>
      <c r="AC94" s="22">
        <v>89</v>
      </c>
      <c r="AD94" s="22">
        <v>88</v>
      </c>
      <c r="AE94" s="22">
        <v>86</v>
      </c>
      <c r="AF94" s="22">
        <v>82</v>
      </c>
      <c r="AG94" s="22">
        <v>83</v>
      </c>
      <c r="AH94" s="22">
        <v>82</v>
      </c>
      <c r="AI94" s="22">
        <v>80</v>
      </c>
      <c r="AJ94" s="22">
        <v>80</v>
      </c>
      <c r="AK94" s="22">
        <v>81</v>
      </c>
      <c r="AL94" s="22">
        <v>82</v>
      </c>
      <c r="AM94" s="22">
        <v>85</v>
      </c>
      <c r="AN94" s="22">
        <v>86</v>
      </c>
      <c r="AO94" s="22">
        <v>89</v>
      </c>
      <c r="AP94" s="21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  <c r="EH94" s="24"/>
      <c r="EI94" s="24"/>
      <c r="EJ94" s="24"/>
      <c r="EK94" s="24"/>
      <c r="EL94" s="24"/>
      <c r="EM94" s="24"/>
      <c r="EN94" s="24"/>
      <c r="EO94" s="24"/>
      <c r="EP94" s="24"/>
      <c r="EQ94" s="24"/>
      <c r="ER94" s="24"/>
      <c r="ES94" s="24"/>
      <c r="ET94" s="24"/>
      <c r="EU94" s="24"/>
      <c r="EV94" s="24"/>
      <c r="EW94" s="24"/>
      <c r="EX94" s="24"/>
      <c r="EY94" s="24"/>
      <c r="EZ94" s="24"/>
    </row>
    <row r="95" spans="2:156" hidden="1">
      <c r="Q95" s="9">
        <v>22</v>
      </c>
      <c r="R95" s="14">
        <v>13</v>
      </c>
      <c r="AA95" s="24"/>
      <c r="AB95" s="31">
        <v>49</v>
      </c>
      <c r="AC95" s="22">
        <v>89</v>
      </c>
      <c r="AD95" s="22">
        <v>88</v>
      </c>
      <c r="AE95" s="22">
        <v>86</v>
      </c>
      <c r="AF95" s="22">
        <v>82</v>
      </c>
      <c r="AG95" s="22">
        <v>83</v>
      </c>
      <c r="AH95" s="22">
        <v>82</v>
      </c>
      <c r="AI95" s="22">
        <v>80</v>
      </c>
      <c r="AJ95" s="22">
        <v>80</v>
      </c>
      <c r="AK95" s="22">
        <v>81</v>
      </c>
      <c r="AL95" s="22">
        <v>82</v>
      </c>
      <c r="AM95" s="22">
        <v>85</v>
      </c>
      <c r="AN95" s="22">
        <v>86</v>
      </c>
      <c r="AO95" s="22">
        <v>89</v>
      </c>
      <c r="AP95" s="21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/>
      <c r="CG95" s="24"/>
      <c r="CH95" s="24"/>
      <c r="CI95" s="24"/>
      <c r="CJ95" s="24"/>
      <c r="CK95" s="24"/>
      <c r="CL95" s="24"/>
      <c r="CM95" s="24"/>
      <c r="CN95" s="24"/>
      <c r="CO95" s="24"/>
      <c r="CP95" s="24"/>
      <c r="CQ95" s="24"/>
      <c r="CR95" s="24"/>
      <c r="CS95" s="24"/>
      <c r="CT95" s="24"/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24"/>
      <c r="DF95" s="24"/>
      <c r="DG95" s="24"/>
      <c r="DH95" s="24"/>
      <c r="DI95" s="24"/>
      <c r="DJ95" s="24"/>
      <c r="DK95" s="24"/>
      <c r="DL95" s="24"/>
      <c r="DM95" s="24"/>
      <c r="DN95" s="24"/>
      <c r="DO95" s="24"/>
      <c r="DP95" s="24"/>
      <c r="DQ95" s="24"/>
      <c r="DR95" s="24"/>
      <c r="DS95" s="24"/>
      <c r="DT95" s="24"/>
      <c r="DU95" s="24"/>
      <c r="DV95" s="24"/>
      <c r="DW95" s="24"/>
      <c r="DX95" s="24"/>
      <c r="DY95" s="24"/>
      <c r="DZ95" s="24"/>
      <c r="EA95" s="24"/>
      <c r="EB95" s="24"/>
      <c r="EC95" s="24"/>
      <c r="ED95" s="24"/>
      <c r="EE95" s="24"/>
      <c r="EF95" s="24"/>
      <c r="EG95" s="24"/>
      <c r="EH95" s="24"/>
      <c r="EI95" s="24"/>
      <c r="EJ95" s="24"/>
      <c r="EK95" s="24"/>
      <c r="EL95" s="24"/>
      <c r="EM95" s="24"/>
      <c r="EN95" s="24"/>
      <c r="EO95" s="24"/>
      <c r="EP95" s="24"/>
      <c r="EQ95" s="24"/>
      <c r="ER95" s="24"/>
      <c r="ES95" s="24"/>
      <c r="ET95" s="24"/>
      <c r="EU95" s="24"/>
      <c r="EV95" s="24"/>
      <c r="EW95" s="24"/>
      <c r="EX95" s="24"/>
      <c r="EY95" s="24"/>
      <c r="EZ95" s="24"/>
    </row>
    <row r="96" spans="2:156" hidden="1">
      <c r="Q96" s="9">
        <v>23</v>
      </c>
      <c r="R96" s="14">
        <v>14</v>
      </c>
      <c r="AA96" s="24"/>
      <c r="AB96" s="31">
        <v>50</v>
      </c>
      <c r="AC96" s="22">
        <v>89</v>
      </c>
      <c r="AD96" s="22">
        <v>88</v>
      </c>
      <c r="AE96" s="22">
        <v>86</v>
      </c>
      <c r="AF96" s="22">
        <v>82</v>
      </c>
      <c r="AG96" s="22">
        <v>83</v>
      </c>
      <c r="AH96" s="22">
        <v>82</v>
      </c>
      <c r="AI96" s="22">
        <v>80</v>
      </c>
      <c r="AJ96" s="22">
        <v>80</v>
      </c>
      <c r="AK96" s="22">
        <v>81</v>
      </c>
      <c r="AL96" s="22">
        <v>82</v>
      </c>
      <c r="AM96" s="22">
        <v>85</v>
      </c>
      <c r="AN96" s="22">
        <v>86</v>
      </c>
      <c r="AO96" s="22">
        <v>89</v>
      </c>
      <c r="AP96" s="21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/>
      <c r="DI96" s="24"/>
      <c r="DJ96" s="24"/>
      <c r="DK96" s="24"/>
      <c r="DL96" s="24"/>
      <c r="DM96" s="24"/>
      <c r="DN96" s="24"/>
      <c r="DO96" s="24"/>
      <c r="DP96" s="24"/>
      <c r="DQ96" s="24"/>
      <c r="DR96" s="24"/>
      <c r="DS96" s="24"/>
      <c r="DT96" s="24"/>
      <c r="DU96" s="24"/>
      <c r="DV96" s="24"/>
      <c r="DW96" s="24"/>
      <c r="DX96" s="24"/>
      <c r="DY96" s="24"/>
      <c r="DZ96" s="24"/>
      <c r="EA96" s="24"/>
      <c r="EB96" s="24"/>
      <c r="EC96" s="24"/>
      <c r="ED96" s="24"/>
      <c r="EE96" s="24"/>
      <c r="EF96" s="24"/>
      <c r="EG96" s="24"/>
      <c r="EH96" s="24"/>
      <c r="EI96" s="24"/>
      <c r="EJ96" s="24"/>
      <c r="EK96" s="24"/>
      <c r="EL96" s="24"/>
      <c r="EM96" s="24"/>
      <c r="EN96" s="24"/>
      <c r="EO96" s="24"/>
      <c r="EP96" s="24"/>
      <c r="EQ96" s="24"/>
      <c r="ER96" s="24"/>
      <c r="ES96" s="24"/>
      <c r="ET96" s="24"/>
      <c r="EU96" s="24"/>
      <c r="EV96" s="24"/>
      <c r="EW96" s="24"/>
      <c r="EX96" s="24"/>
      <c r="EY96" s="24"/>
      <c r="EZ96" s="24"/>
    </row>
    <row r="97" spans="1:156" hidden="1">
      <c r="B97" s="129" t="s">
        <v>36</v>
      </c>
      <c r="C97" s="129" t="s">
        <v>29</v>
      </c>
      <c r="E97" s="129" t="s">
        <v>37</v>
      </c>
      <c r="F97" s="129" t="s">
        <v>29</v>
      </c>
      <c r="H97" s="129" t="s">
        <v>38</v>
      </c>
      <c r="I97" s="129" t="s">
        <v>29</v>
      </c>
      <c r="K97" s="129" t="s">
        <v>39</v>
      </c>
      <c r="L97" s="129" t="s">
        <v>29</v>
      </c>
      <c r="Q97" s="9">
        <v>24</v>
      </c>
      <c r="R97" s="14">
        <v>14</v>
      </c>
      <c r="AA97" s="24"/>
      <c r="AB97" s="31">
        <v>51</v>
      </c>
      <c r="AC97" s="22">
        <v>95</v>
      </c>
      <c r="AD97" s="22">
        <v>93</v>
      </c>
      <c r="AE97" s="22">
        <v>91</v>
      </c>
      <c r="AF97" s="22">
        <v>88</v>
      </c>
      <c r="AG97" s="22">
        <v>87</v>
      </c>
      <c r="AH97" s="22">
        <v>86</v>
      </c>
      <c r="AI97" s="22">
        <v>84</v>
      </c>
      <c r="AJ97" s="22">
        <v>84</v>
      </c>
      <c r="AK97" s="22">
        <v>85</v>
      </c>
      <c r="AL97" s="22">
        <v>86</v>
      </c>
      <c r="AM97" s="22">
        <v>88</v>
      </c>
      <c r="AN97" s="22">
        <v>90</v>
      </c>
      <c r="AO97" s="22">
        <v>92</v>
      </c>
      <c r="AP97" s="21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4"/>
      <c r="CJ97" s="24"/>
      <c r="CK97" s="24"/>
      <c r="CL97" s="24"/>
      <c r="CM97" s="24"/>
      <c r="CN97" s="24"/>
      <c r="CO97" s="24"/>
      <c r="CP97" s="24"/>
      <c r="CQ97" s="24"/>
      <c r="CR97" s="24"/>
      <c r="CS97" s="24"/>
      <c r="CT97" s="24"/>
      <c r="CU97" s="24"/>
      <c r="CV97" s="24"/>
      <c r="CW97" s="24"/>
      <c r="CX97" s="24"/>
      <c r="CY97" s="24"/>
      <c r="CZ97" s="24"/>
      <c r="DA97" s="24"/>
      <c r="DB97" s="24"/>
      <c r="DC97" s="24"/>
      <c r="DD97" s="24"/>
      <c r="DE97" s="24"/>
      <c r="DF97" s="24"/>
      <c r="DG97" s="24"/>
      <c r="DH97" s="24"/>
      <c r="DI97" s="24"/>
      <c r="DJ97" s="24"/>
      <c r="DK97" s="24"/>
      <c r="DL97" s="24"/>
      <c r="DM97" s="24"/>
      <c r="DN97" s="24"/>
      <c r="DO97" s="24"/>
      <c r="DP97" s="24"/>
      <c r="DQ97" s="24"/>
      <c r="DR97" s="24"/>
      <c r="DS97" s="24"/>
      <c r="DT97" s="24"/>
      <c r="DU97" s="24"/>
      <c r="DV97" s="24"/>
      <c r="DW97" s="24"/>
      <c r="DX97" s="24"/>
      <c r="DY97" s="24"/>
      <c r="DZ97" s="24"/>
      <c r="EA97" s="24"/>
      <c r="EB97" s="24"/>
      <c r="EC97" s="24"/>
      <c r="ED97" s="24"/>
      <c r="EE97" s="24"/>
      <c r="EF97" s="24"/>
      <c r="EG97" s="24"/>
      <c r="EH97" s="24"/>
      <c r="EI97" s="24"/>
      <c r="EJ97" s="24"/>
      <c r="EK97" s="24"/>
      <c r="EL97" s="24"/>
      <c r="EM97" s="24"/>
      <c r="EN97" s="24"/>
      <c r="EO97" s="24"/>
      <c r="EP97" s="24"/>
      <c r="EQ97" s="24"/>
      <c r="ER97" s="24"/>
      <c r="ES97" s="24"/>
      <c r="ET97" s="24"/>
      <c r="EU97" s="24"/>
      <c r="EV97" s="24"/>
      <c r="EW97" s="24"/>
      <c r="EX97" s="24"/>
      <c r="EY97" s="24"/>
      <c r="EZ97" s="24"/>
    </row>
    <row r="98" spans="1:156" hidden="1">
      <c r="B98" s="130"/>
      <c r="C98" s="130"/>
      <c r="E98" s="130"/>
      <c r="F98" s="130"/>
      <c r="H98" s="130"/>
      <c r="I98" s="130"/>
      <c r="K98" s="130"/>
      <c r="L98" s="130"/>
      <c r="Q98" s="9">
        <v>25</v>
      </c>
      <c r="R98" s="14">
        <v>15</v>
      </c>
      <c r="AA98" s="24"/>
      <c r="AB98" s="31">
        <v>52</v>
      </c>
      <c r="AC98" s="22">
        <v>95</v>
      </c>
      <c r="AD98" s="22">
        <v>93</v>
      </c>
      <c r="AE98" s="22">
        <v>91</v>
      </c>
      <c r="AF98" s="22">
        <v>88</v>
      </c>
      <c r="AG98" s="22">
        <v>87</v>
      </c>
      <c r="AH98" s="22">
        <v>86</v>
      </c>
      <c r="AI98" s="22">
        <v>84</v>
      </c>
      <c r="AJ98" s="22">
        <v>84</v>
      </c>
      <c r="AK98" s="22">
        <v>85</v>
      </c>
      <c r="AL98" s="22">
        <v>86</v>
      </c>
      <c r="AM98" s="22">
        <v>88</v>
      </c>
      <c r="AN98" s="22">
        <v>90</v>
      </c>
      <c r="AO98" s="22">
        <v>92</v>
      </c>
      <c r="AP98" s="21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4"/>
      <c r="CC98" s="24"/>
      <c r="CD98" s="24"/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/>
      <c r="CV98" s="24"/>
      <c r="CW98" s="24"/>
      <c r="CX98" s="24"/>
      <c r="CY98" s="24"/>
      <c r="CZ98" s="24"/>
      <c r="DA98" s="24"/>
      <c r="DB98" s="24"/>
      <c r="DC98" s="24"/>
      <c r="DD98" s="24"/>
      <c r="DE98" s="24"/>
      <c r="DF98" s="24"/>
      <c r="DG98" s="24"/>
      <c r="DH98" s="24"/>
      <c r="DI98" s="24"/>
      <c r="DJ98" s="24"/>
      <c r="DK98" s="24"/>
      <c r="DL98" s="24"/>
      <c r="DM98" s="24"/>
      <c r="DN98" s="24"/>
      <c r="DO98" s="24"/>
      <c r="DP98" s="24"/>
      <c r="DQ98" s="24"/>
      <c r="DR98" s="24"/>
      <c r="DS98" s="24"/>
      <c r="DT98" s="24"/>
      <c r="DU98" s="24"/>
      <c r="DV98" s="24"/>
      <c r="DW98" s="24"/>
      <c r="DX98" s="24"/>
      <c r="DY98" s="24"/>
      <c r="DZ98" s="24"/>
      <c r="EA98" s="24"/>
      <c r="EB98" s="24"/>
      <c r="EC98" s="24"/>
      <c r="ED98" s="24"/>
      <c r="EE98" s="24"/>
      <c r="EF98" s="24"/>
      <c r="EG98" s="24"/>
      <c r="EH98" s="24"/>
      <c r="EI98" s="24"/>
      <c r="EJ98" s="24"/>
      <c r="EK98" s="24"/>
      <c r="EL98" s="24"/>
      <c r="EM98" s="24"/>
      <c r="EN98" s="24"/>
      <c r="EO98" s="24"/>
      <c r="EP98" s="24"/>
      <c r="EQ98" s="24"/>
      <c r="ER98" s="24"/>
      <c r="ES98" s="24"/>
      <c r="ET98" s="24"/>
      <c r="EU98" s="24"/>
      <c r="EV98" s="24"/>
      <c r="EW98" s="24"/>
      <c r="EX98" s="24"/>
      <c r="EY98" s="24"/>
      <c r="EZ98" s="24"/>
    </row>
    <row r="99" spans="1:156" hidden="1">
      <c r="B99" s="9">
        <v>27</v>
      </c>
      <c r="C99" s="9">
        <f>IF(C44=27,1,IF(C44=72,1,0))</f>
        <v>0</v>
      </c>
      <c r="E99" s="43" t="s">
        <v>27</v>
      </c>
      <c r="F99" s="9">
        <f>IF(F44=E99,1,0)</f>
        <v>0</v>
      </c>
      <c r="H99" s="9" t="s">
        <v>28</v>
      </c>
      <c r="I99" s="9">
        <f>IF(I44=H99,1,0)</f>
        <v>0</v>
      </c>
      <c r="K99" s="9" t="s">
        <v>26</v>
      </c>
      <c r="L99" s="9">
        <f>IF(L44=K99,1,0)</f>
        <v>0</v>
      </c>
      <c r="Q99" s="9">
        <v>26</v>
      </c>
      <c r="R99" s="14">
        <v>15</v>
      </c>
      <c r="AA99" s="24"/>
      <c r="AB99" s="31">
        <v>53</v>
      </c>
      <c r="AC99" s="22">
        <v>95</v>
      </c>
      <c r="AD99" s="22">
        <v>93</v>
      </c>
      <c r="AE99" s="22">
        <v>91</v>
      </c>
      <c r="AF99" s="22">
        <v>88</v>
      </c>
      <c r="AG99" s="22">
        <v>87</v>
      </c>
      <c r="AH99" s="22">
        <v>86</v>
      </c>
      <c r="AI99" s="22">
        <v>84</v>
      </c>
      <c r="AJ99" s="22">
        <v>84</v>
      </c>
      <c r="AK99" s="22">
        <v>85</v>
      </c>
      <c r="AL99" s="22">
        <v>86</v>
      </c>
      <c r="AM99" s="22">
        <v>88</v>
      </c>
      <c r="AN99" s="22">
        <v>90</v>
      </c>
      <c r="AO99" s="22">
        <v>92</v>
      </c>
      <c r="AP99" s="21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  <c r="CD99" s="24"/>
      <c r="CE99" s="24"/>
      <c r="CF99" s="24"/>
      <c r="CG99" s="24"/>
      <c r="CH99" s="24"/>
      <c r="CI99" s="24"/>
      <c r="CJ99" s="24"/>
      <c r="CK99" s="24"/>
      <c r="CL99" s="24"/>
      <c r="CM99" s="24"/>
      <c r="CN99" s="24"/>
      <c r="CO99" s="24"/>
      <c r="CP99" s="24"/>
      <c r="CQ99" s="24"/>
      <c r="CR99" s="24"/>
      <c r="CS99" s="24"/>
      <c r="CT99" s="24"/>
      <c r="CU99" s="24"/>
      <c r="CV99" s="24"/>
      <c r="CW99" s="24"/>
      <c r="CX99" s="24"/>
      <c r="CY99" s="24"/>
      <c r="CZ99" s="24"/>
      <c r="DA99" s="24"/>
      <c r="DB99" s="24"/>
      <c r="DC99" s="24"/>
      <c r="DD99" s="24"/>
      <c r="DE99" s="24"/>
      <c r="DF99" s="24"/>
      <c r="DG99" s="24"/>
      <c r="DH99" s="24"/>
      <c r="DI99" s="24"/>
      <c r="DJ99" s="24"/>
      <c r="DK99" s="24"/>
      <c r="DL99" s="24"/>
      <c r="DM99" s="24"/>
      <c r="DN99" s="24"/>
      <c r="DO99" s="24"/>
      <c r="DP99" s="24"/>
      <c r="DQ99" s="24"/>
      <c r="DR99" s="24"/>
      <c r="DS99" s="24"/>
      <c r="DT99" s="24"/>
      <c r="DU99" s="24"/>
      <c r="DV99" s="24"/>
      <c r="DW99" s="24"/>
      <c r="DX99" s="24"/>
      <c r="DY99" s="24"/>
      <c r="DZ99" s="24"/>
      <c r="EA99" s="24"/>
      <c r="EB99" s="24"/>
      <c r="EC99" s="24"/>
      <c r="ED99" s="24"/>
      <c r="EE99" s="24"/>
      <c r="EF99" s="24"/>
      <c r="EG99" s="24"/>
      <c r="EH99" s="24"/>
      <c r="EI99" s="24"/>
      <c r="EJ99" s="24"/>
      <c r="EK99" s="24"/>
      <c r="EL99" s="24"/>
      <c r="EM99" s="24"/>
      <c r="EN99" s="24"/>
      <c r="EO99" s="24"/>
      <c r="EP99" s="24"/>
      <c r="EQ99" s="24"/>
      <c r="ER99" s="24"/>
      <c r="ES99" s="24"/>
      <c r="ET99" s="24"/>
      <c r="EU99" s="24"/>
      <c r="EV99" s="24"/>
      <c r="EW99" s="24"/>
      <c r="EX99" s="24"/>
      <c r="EY99" s="24"/>
      <c r="EZ99" s="24"/>
    </row>
    <row r="100" spans="1:156" hidden="1">
      <c r="B100" s="9">
        <v>25</v>
      </c>
      <c r="C100" s="9">
        <f>IF(C45=25,1,IF(C45=52,1,0))</f>
        <v>0</v>
      </c>
      <c r="E100" s="43" t="s">
        <v>26</v>
      </c>
      <c r="F100" s="9">
        <f t="shared" ref="F100:F118" si="7">IF(F45=E100,1,0)</f>
        <v>0</v>
      </c>
      <c r="G100" s="5"/>
      <c r="H100" s="9" t="s">
        <v>25</v>
      </c>
      <c r="I100" s="9">
        <f t="shared" ref="I100:I118" si="8">IF(I45=H100,1,0)</f>
        <v>0</v>
      </c>
      <c r="K100" s="9" t="s">
        <v>24</v>
      </c>
      <c r="L100" s="9">
        <f t="shared" ref="L100:L118" si="9">IF(L45=K100,1,0)</f>
        <v>0</v>
      </c>
      <c r="Q100" s="9">
        <v>27</v>
      </c>
      <c r="R100" s="14">
        <v>16</v>
      </c>
      <c r="AA100" s="24"/>
      <c r="AB100" s="31">
        <v>54</v>
      </c>
      <c r="AC100" s="22">
        <v>95</v>
      </c>
      <c r="AD100" s="22">
        <v>93</v>
      </c>
      <c r="AE100" s="22">
        <v>91</v>
      </c>
      <c r="AF100" s="22">
        <v>88</v>
      </c>
      <c r="AG100" s="22">
        <v>87</v>
      </c>
      <c r="AH100" s="22">
        <v>86</v>
      </c>
      <c r="AI100" s="22">
        <v>84</v>
      </c>
      <c r="AJ100" s="22">
        <v>84</v>
      </c>
      <c r="AK100" s="22">
        <v>85</v>
      </c>
      <c r="AL100" s="22">
        <v>86</v>
      </c>
      <c r="AM100" s="22">
        <v>88</v>
      </c>
      <c r="AN100" s="22">
        <v>90</v>
      </c>
      <c r="AO100" s="22">
        <v>92</v>
      </c>
      <c r="AP100" s="21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  <c r="CD100" s="24"/>
      <c r="CE100" s="24"/>
      <c r="CF100" s="24"/>
      <c r="CG100" s="24"/>
      <c r="CH100" s="24"/>
      <c r="CI100" s="24"/>
      <c r="CJ100" s="24"/>
      <c r="CK100" s="24"/>
      <c r="CL100" s="24"/>
      <c r="CM100" s="24"/>
      <c r="CN100" s="24"/>
      <c r="CO100" s="24"/>
      <c r="CP100" s="24"/>
      <c r="CQ100" s="24"/>
      <c r="CR100" s="24"/>
      <c r="CS100" s="24"/>
      <c r="CT100" s="24"/>
      <c r="CU100" s="24"/>
      <c r="CV100" s="24"/>
      <c r="CW100" s="24"/>
      <c r="CX100" s="24"/>
      <c r="CY100" s="24"/>
      <c r="CZ100" s="24"/>
      <c r="DA100" s="24"/>
      <c r="DB100" s="24"/>
      <c r="DC100" s="24"/>
      <c r="DD100" s="24"/>
      <c r="DE100" s="24"/>
      <c r="DF100" s="24"/>
      <c r="DG100" s="24"/>
      <c r="DH100" s="24"/>
      <c r="DI100" s="24"/>
      <c r="DJ100" s="24"/>
      <c r="DK100" s="24"/>
      <c r="DL100" s="24"/>
      <c r="DM100" s="24"/>
      <c r="DN100" s="24"/>
      <c r="DO100" s="24"/>
      <c r="DP100" s="24"/>
      <c r="DQ100" s="24"/>
      <c r="DR100" s="24"/>
      <c r="DS100" s="24"/>
      <c r="DT100" s="24"/>
      <c r="DU100" s="24"/>
      <c r="DV100" s="24"/>
      <c r="DW100" s="24"/>
      <c r="DX100" s="24"/>
      <c r="DY100" s="24"/>
      <c r="DZ100" s="24"/>
      <c r="EA100" s="24"/>
      <c r="EB100" s="24"/>
      <c r="EC100" s="24"/>
      <c r="ED100" s="24"/>
      <c r="EE100" s="24"/>
      <c r="EF100" s="24"/>
      <c r="EG100" s="24"/>
      <c r="EH100" s="24"/>
      <c r="EI100" s="24"/>
      <c r="EJ100" s="24"/>
      <c r="EK100" s="24"/>
      <c r="EL100" s="24"/>
      <c r="EM100" s="24"/>
      <c r="EN100" s="24"/>
      <c r="EO100" s="24"/>
      <c r="EP100" s="24"/>
      <c r="EQ100" s="24"/>
      <c r="ER100" s="24"/>
      <c r="ES100" s="24"/>
      <c r="ET100" s="24"/>
      <c r="EU100" s="24"/>
      <c r="EV100" s="24"/>
      <c r="EW100" s="24"/>
      <c r="EX100" s="24"/>
      <c r="EY100" s="24"/>
      <c r="EZ100" s="24"/>
    </row>
    <row r="101" spans="1:156" hidden="1">
      <c r="A101" s="6"/>
      <c r="B101" s="9">
        <v>27</v>
      </c>
      <c r="C101" s="9">
        <f>IF(C46=27,1,IF(C46=72,1,0))</f>
        <v>0</v>
      </c>
      <c r="E101" s="43" t="s">
        <v>25</v>
      </c>
      <c r="F101" s="9">
        <f t="shared" si="7"/>
        <v>0</v>
      </c>
      <c r="G101" s="5" t="s">
        <v>17</v>
      </c>
      <c r="H101" s="9" t="s">
        <v>26</v>
      </c>
      <c r="I101" s="9">
        <f t="shared" si="8"/>
        <v>0</v>
      </c>
      <c r="K101" s="9" t="s">
        <v>27</v>
      </c>
      <c r="L101" s="9">
        <f t="shared" si="9"/>
        <v>0</v>
      </c>
      <c r="Q101" s="9">
        <v>28</v>
      </c>
      <c r="R101" s="14">
        <v>17</v>
      </c>
      <c r="AA101" s="24"/>
      <c r="AB101" s="31">
        <v>55</v>
      </c>
      <c r="AC101" s="22">
        <v>95</v>
      </c>
      <c r="AD101" s="22">
        <v>93</v>
      </c>
      <c r="AE101" s="22">
        <v>91</v>
      </c>
      <c r="AF101" s="22">
        <v>88</v>
      </c>
      <c r="AG101" s="22">
        <v>87</v>
      </c>
      <c r="AH101" s="22">
        <v>86</v>
      </c>
      <c r="AI101" s="22">
        <v>84</v>
      </c>
      <c r="AJ101" s="22">
        <v>84</v>
      </c>
      <c r="AK101" s="22">
        <v>85</v>
      </c>
      <c r="AL101" s="22">
        <v>86</v>
      </c>
      <c r="AM101" s="22">
        <v>88</v>
      </c>
      <c r="AN101" s="22">
        <v>90</v>
      </c>
      <c r="AO101" s="22">
        <v>92</v>
      </c>
      <c r="AP101" s="21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24"/>
      <c r="ED101" s="24"/>
      <c r="EE101" s="24"/>
      <c r="EF101" s="24"/>
      <c r="EG101" s="24"/>
      <c r="EH101" s="24"/>
      <c r="EI101" s="24"/>
      <c r="EJ101" s="24"/>
      <c r="EK101" s="24"/>
      <c r="EL101" s="24"/>
      <c r="EM101" s="24"/>
      <c r="EN101" s="24"/>
      <c r="EO101" s="24"/>
      <c r="EP101" s="24"/>
      <c r="EQ101" s="24"/>
      <c r="ER101" s="24"/>
      <c r="ES101" s="24"/>
      <c r="ET101" s="24"/>
      <c r="EU101" s="24"/>
      <c r="EV101" s="24"/>
      <c r="EW101" s="24"/>
      <c r="EX101" s="24"/>
      <c r="EY101" s="24"/>
      <c r="EZ101" s="24"/>
    </row>
    <row r="102" spans="1:156" hidden="1">
      <c r="B102" s="9">
        <v>15</v>
      </c>
      <c r="C102" s="9">
        <f>IF(C47=15,1,IF(C47=51,1,0))</f>
        <v>0</v>
      </c>
      <c r="E102" s="43" t="s">
        <v>27</v>
      </c>
      <c r="F102" s="9">
        <f t="shared" si="7"/>
        <v>0</v>
      </c>
      <c r="G102" s="5" t="s">
        <v>18</v>
      </c>
      <c r="H102" s="9" t="s">
        <v>24</v>
      </c>
      <c r="I102" s="9">
        <f t="shared" si="8"/>
        <v>0</v>
      </c>
      <c r="K102" s="9" t="s">
        <v>28</v>
      </c>
      <c r="L102" s="9">
        <f t="shared" si="9"/>
        <v>0</v>
      </c>
      <c r="Q102" s="9">
        <v>29</v>
      </c>
      <c r="R102" s="14">
        <v>18</v>
      </c>
      <c r="AA102" s="24"/>
      <c r="AB102" s="31">
        <v>56</v>
      </c>
      <c r="AC102" s="22">
        <v>95</v>
      </c>
      <c r="AD102" s="22">
        <v>93</v>
      </c>
      <c r="AE102" s="22">
        <v>91</v>
      </c>
      <c r="AF102" s="22">
        <v>88</v>
      </c>
      <c r="AG102" s="22">
        <v>87</v>
      </c>
      <c r="AH102" s="22">
        <v>86</v>
      </c>
      <c r="AI102" s="22">
        <v>84</v>
      </c>
      <c r="AJ102" s="22">
        <v>84</v>
      </c>
      <c r="AK102" s="22">
        <v>85</v>
      </c>
      <c r="AL102" s="22">
        <v>86</v>
      </c>
      <c r="AM102" s="22">
        <v>88</v>
      </c>
      <c r="AN102" s="22">
        <v>90</v>
      </c>
      <c r="AO102" s="22">
        <v>92</v>
      </c>
      <c r="AP102" s="21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  <c r="DI102" s="24"/>
      <c r="DJ102" s="24"/>
      <c r="DK102" s="24"/>
      <c r="DL102" s="24"/>
      <c r="DM102" s="24"/>
      <c r="DN102" s="24"/>
      <c r="DO102" s="24"/>
      <c r="DP102" s="24"/>
      <c r="DQ102" s="24"/>
      <c r="DR102" s="24"/>
      <c r="DS102" s="24"/>
      <c r="DT102" s="24"/>
      <c r="DU102" s="24"/>
      <c r="DV102" s="24"/>
      <c r="DW102" s="24"/>
      <c r="DX102" s="24"/>
      <c r="DY102" s="24"/>
      <c r="DZ102" s="24"/>
      <c r="EA102" s="24"/>
      <c r="EB102" s="24"/>
      <c r="EC102" s="24"/>
      <c r="ED102" s="24"/>
      <c r="EE102" s="24"/>
      <c r="EF102" s="24"/>
      <c r="EG102" s="24"/>
      <c r="EH102" s="24"/>
      <c r="EI102" s="24"/>
      <c r="EJ102" s="24"/>
      <c r="EK102" s="24"/>
      <c r="EL102" s="24"/>
      <c r="EM102" s="24"/>
      <c r="EN102" s="24"/>
      <c r="EO102" s="24"/>
      <c r="EP102" s="24"/>
      <c r="EQ102" s="24"/>
      <c r="ER102" s="24"/>
      <c r="ES102" s="24"/>
      <c r="ET102" s="24"/>
      <c r="EU102" s="24"/>
      <c r="EV102" s="24"/>
      <c r="EW102" s="24"/>
      <c r="EX102" s="24"/>
      <c r="EY102" s="24"/>
      <c r="EZ102" s="24"/>
    </row>
    <row r="103" spans="1:156" hidden="1">
      <c r="B103" s="9">
        <v>46</v>
      </c>
      <c r="C103" s="9">
        <f>IF(C48=46,1,IF(C48=64,1,0))</f>
        <v>0</v>
      </c>
      <c r="E103" s="43" t="s">
        <v>24</v>
      </c>
      <c r="F103" s="9">
        <f t="shared" si="7"/>
        <v>0</v>
      </c>
      <c r="G103" s="5"/>
      <c r="H103" s="9" t="s">
        <v>28</v>
      </c>
      <c r="I103" s="9">
        <f t="shared" si="8"/>
        <v>0</v>
      </c>
      <c r="K103" s="9" t="s">
        <v>25</v>
      </c>
      <c r="L103" s="9">
        <f t="shared" si="9"/>
        <v>0</v>
      </c>
      <c r="Q103" s="9">
        <v>30</v>
      </c>
      <c r="R103" s="14">
        <v>19</v>
      </c>
      <c r="AA103" s="24"/>
      <c r="AB103" s="31">
        <v>57</v>
      </c>
      <c r="AC103" s="22">
        <v>95</v>
      </c>
      <c r="AD103" s="22">
        <v>93</v>
      </c>
      <c r="AE103" s="22">
        <v>91</v>
      </c>
      <c r="AF103" s="22">
        <v>88</v>
      </c>
      <c r="AG103" s="22">
        <v>87</v>
      </c>
      <c r="AH103" s="22">
        <v>86</v>
      </c>
      <c r="AI103" s="22">
        <v>84</v>
      </c>
      <c r="AJ103" s="22">
        <v>84</v>
      </c>
      <c r="AK103" s="22">
        <v>85</v>
      </c>
      <c r="AL103" s="22">
        <v>86</v>
      </c>
      <c r="AM103" s="22">
        <v>88</v>
      </c>
      <c r="AN103" s="22">
        <v>90</v>
      </c>
      <c r="AO103" s="22">
        <v>92</v>
      </c>
      <c r="AP103" s="21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  <c r="CV103" s="24"/>
      <c r="CW103" s="24"/>
      <c r="CX103" s="24"/>
      <c r="CY103" s="24"/>
      <c r="CZ103" s="24"/>
      <c r="DA103" s="24"/>
      <c r="DB103" s="24"/>
      <c r="DC103" s="24"/>
      <c r="DD103" s="24"/>
      <c r="DE103" s="24"/>
      <c r="DF103" s="24"/>
      <c r="DG103" s="24"/>
      <c r="DH103" s="24"/>
      <c r="DI103" s="24"/>
      <c r="DJ103" s="24"/>
      <c r="DK103" s="24"/>
      <c r="DL103" s="24"/>
      <c r="DM103" s="24"/>
      <c r="DN103" s="24"/>
      <c r="DO103" s="24"/>
      <c r="DP103" s="24"/>
      <c r="DQ103" s="24"/>
      <c r="DR103" s="24"/>
      <c r="DS103" s="24"/>
      <c r="DT103" s="24"/>
      <c r="DU103" s="24"/>
      <c r="DV103" s="24"/>
      <c r="DW103" s="24"/>
      <c r="DX103" s="24"/>
      <c r="DY103" s="24"/>
      <c r="DZ103" s="24"/>
      <c r="EA103" s="24"/>
      <c r="EB103" s="24"/>
      <c r="EC103" s="24"/>
      <c r="ED103" s="24"/>
      <c r="EE103" s="24"/>
      <c r="EF103" s="24"/>
      <c r="EG103" s="24"/>
      <c r="EH103" s="24"/>
      <c r="EI103" s="24"/>
      <c r="EJ103" s="24"/>
      <c r="EK103" s="24"/>
      <c r="EL103" s="24"/>
      <c r="EM103" s="24"/>
      <c r="EN103" s="24"/>
      <c r="EO103" s="24"/>
      <c r="EP103" s="24"/>
      <c r="EQ103" s="24"/>
      <c r="ER103" s="24"/>
      <c r="ES103" s="24"/>
      <c r="ET103" s="24"/>
      <c r="EU103" s="24"/>
      <c r="EV103" s="24"/>
      <c r="EW103" s="24"/>
      <c r="EX103" s="24"/>
      <c r="EY103" s="24"/>
      <c r="EZ103" s="24"/>
    </row>
    <row r="104" spans="1:156" hidden="1">
      <c r="B104" s="9">
        <v>10</v>
      </c>
      <c r="C104" s="9">
        <f>IF(C49=10,1,IF(C49=1,1,0))</f>
        <v>0</v>
      </c>
      <c r="E104" s="43" t="s">
        <v>25</v>
      </c>
      <c r="F104" s="9">
        <f t="shared" si="7"/>
        <v>0</v>
      </c>
      <c r="H104" s="9" t="s">
        <v>25</v>
      </c>
      <c r="I104" s="9">
        <f t="shared" si="8"/>
        <v>0</v>
      </c>
      <c r="K104" s="9" t="s">
        <v>28</v>
      </c>
      <c r="L104" s="9">
        <f t="shared" si="9"/>
        <v>0</v>
      </c>
      <c r="AA104" s="24"/>
      <c r="AB104" s="31">
        <v>58</v>
      </c>
      <c r="AC104" s="22">
        <v>95</v>
      </c>
      <c r="AD104" s="22">
        <v>93</v>
      </c>
      <c r="AE104" s="22">
        <v>91</v>
      </c>
      <c r="AF104" s="22">
        <v>88</v>
      </c>
      <c r="AG104" s="22">
        <v>87</v>
      </c>
      <c r="AH104" s="22">
        <v>86</v>
      </c>
      <c r="AI104" s="22">
        <v>84</v>
      </c>
      <c r="AJ104" s="22">
        <v>84</v>
      </c>
      <c r="AK104" s="22">
        <v>85</v>
      </c>
      <c r="AL104" s="22">
        <v>86</v>
      </c>
      <c r="AM104" s="22">
        <v>88</v>
      </c>
      <c r="AN104" s="22">
        <v>90</v>
      </c>
      <c r="AO104" s="22">
        <v>92</v>
      </c>
      <c r="AP104" s="22">
        <v>37</v>
      </c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/>
      <c r="CW104" s="24"/>
      <c r="CX104" s="24"/>
      <c r="CY104" s="24"/>
      <c r="CZ104" s="24"/>
      <c r="DA104" s="24"/>
      <c r="DB104" s="24"/>
      <c r="DC104" s="24"/>
      <c r="DD104" s="24"/>
      <c r="DE104" s="24"/>
      <c r="DF104" s="24"/>
      <c r="DG104" s="24"/>
      <c r="DH104" s="24"/>
      <c r="DI104" s="24"/>
      <c r="DJ104" s="24"/>
      <c r="DK104" s="24"/>
      <c r="DL104" s="24"/>
      <c r="DM104" s="24"/>
      <c r="DN104" s="24"/>
      <c r="DO104" s="24"/>
      <c r="DP104" s="24"/>
      <c r="DQ104" s="24"/>
      <c r="DR104" s="24"/>
      <c r="DS104" s="24"/>
      <c r="DT104" s="24"/>
      <c r="DU104" s="24"/>
      <c r="DV104" s="24"/>
      <c r="DW104" s="24"/>
      <c r="DX104" s="24"/>
      <c r="DY104" s="24"/>
      <c r="DZ104" s="24"/>
      <c r="EA104" s="24"/>
      <c r="EB104" s="24"/>
      <c r="EC104" s="24"/>
      <c r="ED104" s="24"/>
      <c r="EE104" s="24"/>
      <c r="EF104" s="24"/>
      <c r="EG104" s="24"/>
      <c r="EH104" s="24"/>
      <c r="EI104" s="24"/>
      <c r="EJ104" s="24"/>
      <c r="EK104" s="24"/>
      <c r="EL104" s="24"/>
      <c r="EM104" s="24"/>
      <c r="EN104" s="24"/>
      <c r="EO104" s="24"/>
      <c r="EP104" s="24"/>
      <c r="EQ104" s="24"/>
      <c r="ER104" s="24"/>
      <c r="ES104" s="24"/>
      <c r="ET104" s="24"/>
      <c r="EU104" s="24"/>
      <c r="EV104" s="24"/>
      <c r="EW104" s="24"/>
      <c r="EX104" s="24"/>
      <c r="EY104" s="24"/>
      <c r="EZ104" s="24"/>
    </row>
    <row r="105" spans="1:156" hidden="1">
      <c r="B105" s="9">
        <v>24</v>
      </c>
      <c r="C105" s="9">
        <f>IF(C50=24,1,IF(C50=42,1,0))</f>
        <v>0</v>
      </c>
      <c r="E105" s="43" t="s">
        <v>26</v>
      </c>
      <c r="F105" s="9">
        <f t="shared" si="7"/>
        <v>0</v>
      </c>
      <c r="H105" s="9" t="s">
        <v>26</v>
      </c>
      <c r="I105" s="9">
        <f t="shared" si="8"/>
        <v>0</v>
      </c>
      <c r="K105" s="9" t="s">
        <v>26</v>
      </c>
      <c r="L105" s="9">
        <f t="shared" si="9"/>
        <v>0</v>
      </c>
      <c r="AA105" s="24"/>
      <c r="AB105" s="31">
        <v>59</v>
      </c>
      <c r="AC105" s="22">
        <v>95</v>
      </c>
      <c r="AD105" s="22">
        <v>93</v>
      </c>
      <c r="AE105" s="22">
        <v>91</v>
      </c>
      <c r="AF105" s="22">
        <v>88</v>
      </c>
      <c r="AG105" s="22">
        <v>87</v>
      </c>
      <c r="AH105" s="22">
        <v>86</v>
      </c>
      <c r="AI105" s="22">
        <v>84</v>
      </c>
      <c r="AJ105" s="22">
        <v>84</v>
      </c>
      <c r="AK105" s="22">
        <v>85</v>
      </c>
      <c r="AL105" s="22">
        <v>86</v>
      </c>
      <c r="AM105" s="22">
        <v>88</v>
      </c>
      <c r="AN105" s="22">
        <v>90</v>
      </c>
      <c r="AO105" s="22">
        <v>92</v>
      </c>
      <c r="AP105" s="23">
        <v>39</v>
      </c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/>
      <c r="CU105" s="24"/>
      <c r="CV105" s="24"/>
      <c r="CW105" s="24"/>
      <c r="CX105" s="24"/>
      <c r="CY105" s="24"/>
      <c r="CZ105" s="24"/>
      <c r="DA105" s="24"/>
      <c r="DB105" s="24"/>
      <c r="DC105" s="24"/>
      <c r="DD105" s="24"/>
      <c r="DE105" s="24"/>
      <c r="DF105" s="24"/>
      <c r="DG105" s="24"/>
      <c r="DH105" s="24"/>
      <c r="DI105" s="24"/>
      <c r="DJ105" s="24"/>
      <c r="DK105" s="24"/>
      <c r="DL105" s="24"/>
      <c r="DM105" s="24"/>
      <c r="DN105" s="24"/>
      <c r="DO105" s="24"/>
      <c r="DP105" s="24"/>
      <c r="DQ105" s="24"/>
      <c r="DR105" s="24"/>
      <c r="DS105" s="24"/>
      <c r="DT105" s="24"/>
      <c r="DU105" s="24"/>
      <c r="DV105" s="24"/>
      <c r="DW105" s="24"/>
      <c r="DX105" s="24"/>
      <c r="DY105" s="24"/>
      <c r="DZ105" s="24"/>
      <c r="EA105" s="24"/>
      <c r="EB105" s="24"/>
      <c r="EC105" s="24"/>
      <c r="ED105" s="24"/>
      <c r="EE105" s="24"/>
      <c r="EF105" s="24"/>
      <c r="EG105" s="24"/>
      <c r="EH105" s="24"/>
      <c r="EI105" s="24"/>
      <c r="EJ105" s="24"/>
      <c r="EK105" s="24"/>
      <c r="EL105" s="24"/>
      <c r="EM105" s="24"/>
      <c r="EN105" s="24"/>
      <c r="EO105" s="24"/>
      <c r="EP105" s="24"/>
      <c r="EQ105" s="24"/>
      <c r="ER105" s="24"/>
      <c r="ES105" s="24"/>
      <c r="ET105" s="24"/>
      <c r="EU105" s="24"/>
      <c r="EV105" s="24"/>
      <c r="EW105" s="24"/>
      <c r="EX105" s="24"/>
      <c r="EY105" s="24"/>
      <c r="EZ105" s="24"/>
    </row>
    <row r="106" spans="1:156" hidden="1">
      <c r="A106" s="6"/>
      <c r="B106" s="9">
        <v>7</v>
      </c>
      <c r="C106" s="9">
        <f>IF(C51=B106,1,0)</f>
        <v>0</v>
      </c>
      <c r="E106" s="43" t="s">
        <v>28</v>
      </c>
      <c r="F106" s="9">
        <f t="shared" si="7"/>
        <v>0</v>
      </c>
      <c r="H106" s="9" t="s">
        <v>25</v>
      </c>
      <c r="I106" s="9">
        <f t="shared" si="8"/>
        <v>0</v>
      </c>
      <c r="K106" s="9" t="s">
        <v>24</v>
      </c>
      <c r="L106" s="9">
        <f t="shared" si="9"/>
        <v>0</v>
      </c>
      <c r="AA106" s="24"/>
      <c r="AB106" s="31">
        <v>60</v>
      </c>
      <c r="AC106" s="22">
        <v>95</v>
      </c>
      <c r="AD106" s="22">
        <v>93</v>
      </c>
      <c r="AE106" s="22">
        <v>91</v>
      </c>
      <c r="AF106" s="22">
        <v>88</v>
      </c>
      <c r="AG106" s="22">
        <v>87</v>
      </c>
      <c r="AH106" s="22">
        <v>86</v>
      </c>
      <c r="AI106" s="22">
        <v>84</v>
      </c>
      <c r="AJ106" s="22">
        <v>84</v>
      </c>
      <c r="AK106" s="22">
        <v>85</v>
      </c>
      <c r="AL106" s="22">
        <v>86</v>
      </c>
      <c r="AM106" s="22">
        <v>88</v>
      </c>
      <c r="AN106" s="22">
        <v>90</v>
      </c>
      <c r="AO106" s="22">
        <v>92</v>
      </c>
      <c r="AP106" s="22">
        <v>40</v>
      </c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24"/>
      <c r="DF106" s="24"/>
      <c r="DG106" s="24"/>
      <c r="DH106" s="24"/>
      <c r="DI106" s="24"/>
      <c r="DJ106" s="24"/>
      <c r="DK106" s="24"/>
      <c r="DL106" s="24"/>
      <c r="DM106" s="24"/>
      <c r="DN106" s="24"/>
      <c r="DO106" s="24"/>
      <c r="DP106" s="24"/>
      <c r="DQ106" s="24"/>
      <c r="DR106" s="24"/>
      <c r="DS106" s="24"/>
      <c r="DT106" s="24"/>
      <c r="DU106" s="24"/>
      <c r="DV106" s="24"/>
      <c r="DW106" s="24"/>
      <c r="DX106" s="24"/>
      <c r="DY106" s="24"/>
      <c r="DZ106" s="24"/>
      <c r="EA106" s="24"/>
      <c r="EB106" s="24"/>
      <c r="EC106" s="24"/>
      <c r="ED106" s="24"/>
      <c r="EE106" s="24"/>
      <c r="EF106" s="24"/>
      <c r="EG106" s="24"/>
      <c r="EH106" s="24"/>
      <c r="EI106" s="24"/>
      <c r="EJ106" s="24"/>
      <c r="EK106" s="24"/>
      <c r="EL106" s="24"/>
      <c r="EM106" s="24"/>
      <c r="EN106" s="24"/>
      <c r="EO106" s="24"/>
      <c r="EP106" s="24"/>
      <c r="EQ106" s="24"/>
      <c r="ER106" s="24"/>
      <c r="ES106" s="24"/>
      <c r="ET106" s="24"/>
      <c r="EU106" s="24"/>
      <c r="EV106" s="24"/>
      <c r="EW106" s="24"/>
      <c r="EX106" s="24"/>
      <c r="EY106" s="24"/>
      <c r="EZ106" s="24"/>
    </row>
    <row r="107" spans="1:156" hidden="1">
      <c r="A107" s="6"/>
      <c r="B107" s="9">
        <v>5</v>
      </c>
      <c r="C107" s="9">
        <f>IF(C52=B107,1,0)</f>
        <v>0</v>
      </c>
      <c r="E107" s="43" t="s">
        <v>28</v>
      </c>
      <c r="F107" s="9">
        <f t="shared" si="7"/>
        <v>0</v>
      </c>
      <c r="H107" s="9" t="s">
        <v>24</v>
      </c>
      <c r="I107" s="9">
        <f t="shared" si="8"/>
        <v>0</v>
      </c>
      <c r="K107" s="9" t="s">
        <v>25</v>
      </c>
      <c r="L107" s="9">
        <f t="shared" si="9"/>
        <v>0</v>
      </c>
      <c r="AA107" s="24"/>
      <c r="AB107" s="31">
        <v>61</v>
      </c>
      <c r="AC107" s="22">
        <v>101</v>
      </c>
      <c r="AD107" s="22">
        <v>99</v>
      </c>
      <c r="AE107" s="22">
        <v>96</v>
      </c>
      <c r="AF107" s="22">
        <v>93</v>
      </c>
      <c r="AG107" s="22">
        <v>92</v>
      </c>
      <c r="AH107" s="22">
        <v>90</v>
      </c>
      <c r="AI107" s="22">
        <v>88</v>
      </c>
      <c r="AJ107" s="22">
        <v>88</v>
      </c>
      <c r="AK107" s="22">
        <v>89</v>
      </c>
      <c r="AL107" s="22">
        <v>89</v>
      </c>
      <c r="AM107" s="22">
        <v>91</v>
      </c>
      <c r="AN107" s="22">
        <v>93</v>
      </c>
      <c r="AO107" s="22">
        <v>95</v>
      </c>
      <c r="AP107" s="23">
        <v>42</v>
      </c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  <c r="CD107" s="24"/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4"/>
      <c r="CP107" s="24"/>
      <c r="CQ107" s="24"/>
      <c r="CR107" s="24"/>
      <c r="CS107" s="24"/>
      <c r="CT107" s="24"/>
      <c r="CU107" s="24"/>
      <c r="CV107" s="24"/>
      <c r="CW107" s="24"/>
      <c r="CX107" s="24"/>
      <c r="CY107" s="24"/>
      <c r="CZ107" s="24"/>
      <c r="DA107" s="24"/>
      <c r="DB107" s="24"/>
      <c r="DC107" s="24"/>
      <c r="DD107" s="24"/>
      <c r="DE107" s="24"/>
      <c r="DF107" s="24"/>
      <c r="DG107" s="24"/>
      <c r="DH107" s="24"/>
      <c r="DI107" s="24"/>
      <c r="DJ107" s="24"/>
      <c r="DK107" s="24"/>
      <c r="DL107" s="24"/>
      <c r="DM107" s="24"/>
      <c r="DN107" s="24"/>
      <c r="DO107" s="24"/>
      <c r="DP107" s="24"/>
      <c r="DQ107" s="24"/>
      <c r="DR107" s="24"/>
      <c r="DS107" s="24"/>
      <c r="DT107" s="24"/>
      <c r="DU107" s="24"/>
      <c r="DV107" s="24"/>
      <c r="DW107" s="24"/>
      <c r="DX107" s="24"/>
      <c r="DY107" s="24"/>
      <c r="DZ107" s="24"/>
      <c r="EA107" s="24"/>
      <c r="EB107" s="24"/>
      <c r="EC107" s="24"/>
      <c r="ED107" s="24"/>
      <c r="EE107" s="24"/>
      <c r="EF107" s="24"/>
      <c r="EG107" s="24"/>
      <c r="EH107" s="24"/>
      <c r="EI107" s="24"/>
      <c r="EJ107" s="24"/>
      <c r="EK107" s="24"/>
      <c r="EL107" s="24"/>
      <c r="EM107" s="24"/>
      <c r="EN107" s="24"/>
      <c r="EO107" s="24"/>
      <c r="EP107" s="24"/>
      <c r="EQ107" s="24"/>
      <c r="ER107" s="24"/>
      <c r="ES107" s="24"/>
      <c r="ET107" s="24"/>
      <c r="EU107" s="24"/>
      <c r="EV107" s="24"/>
      <c r="EW107" s="24"/>
      <c r="EX107" s="24"/>
      <c r="EY107" s="24"/>
      <c r="EZ107" s="24"/>
    </row>
    <row r="108" spans="1:156" hidden="1">
      <c r="B108" s="9">
        <v>14</v>
      </c>
      <c r="C108" s="9">
        <f>IF(C53=14,1,IF(C53=41,1,0))</f>
        <v>0</v>
      </c>
      <c r="E108" s="43" t="s">
        <v>24</v>
      </c>
      <c r="F108" s="9">
        <f t="shared" si="7"/>
        <v>0</v>
      </c>
      <c r="H108" s="9" t="s">
        <v>28</v>
      </c>
      <c r="I108" s="9">
        <f t="shared" si="8"/>
        <v>0</v>
      </c>
      <c r="K108" s="9" t="s">
        <v>27</v>
      </c>
      <c r="L108" s="9">
        <f t="shared" si="9"/>
        <v>0</v>
      </c>
      <c r="AA108" s="24"/>
      <c r="AB108" s="31">
        <v>62</v>
      </c>
      <c r="AC108" s="22">
        <v>101</v>
      </c>
      <c r="AD108" s="22">
        <v>99</v>
      </c>
      <c r="AE108" s="22">
        <v>96</v>
      </c>
      <c r="AF108" s="22">
        <v>93</v>
      </c>
      <c r="AG108" s="22">
        <v>92</v>
      </c>
      <c r="AH108" s="22">
        <v>90</v>
      </c>
      <c r="AI108" s="22">
        <v>88</v>
      </c>
      <c r="AJ108" s="22">
        <v>88</v>
      </c>
      <c r="AK108" s="22">
        <v>89</v>
      </c>
      <c r="AL108" s="22">
        <v>89</v>
      </c>
      <c r="AM108" s="22">
        <v>91</v>
      </c>
      <c r="AN108" s="22">
        <v>93</v>
      </c>
      <c r="AO108" s="22">
        <v>95</v>
      </c>
      <c r="AP108" s="22">
        <v>43</v>
      </c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24"/>
      <c r="DZ108" s="24"/>
      <c r="EA108" s="24"/>
      <c r="EB108" s="24"/>
      <c r="EC108" s="24"/>
      <c r="ED108" s="24"/>
      <c r="EE108" s="24"/>
      <c r="EF108" s="24"/>
      <c r="EG108" s="24"/>
      <c r="EH108" s="24"/>
      <c r="EI108" s="24"/>
      <c r="EJ108" s="24"/>
      <c r="EK108" s="24"/>
      <c r="EL108" s="24"/>
      <c r="EM108" s="24"/>
      <c r="EN108" s="24"/>
      <c r="EO108" s="24"/>
      <c r="EP108" s="24"/>
      <c r="EQ108" s="24"/>
      <c r="ER108" s="24"/>
      <c r="ES108" s="24"/>
      <c r="ET108" s="24"/>
      <c r="EU108" s="24"/>
      <c r="EV108" s="24"/>
      <c r="EW108" s="24"/>
      <c r="EX108" s="24"/>
      <c r="EY108" s="24"/>
      <c r="EZ108" s="24"/>
    </row>
    <row r="109" spans="1:156" hidden="1">
      <c r="B109" s="9">
        <v>8</v>
      </c>
      <c r="C109" s="9">
        <f>IF(C54=B109,1,0)</f>
        <v>0</v>
      </c>
      <c r="E109" s="43" t="s">
        <v>28</v>
      </c>
      <c r="F109" s="9">
        <f t="shared" si="7"/>
        <v>0</v>
      </c>
      <c r="H109" s="9" t="s">
        <v>27</v>
      </c>
      <c r="I109" s="9">
        <f t="shared" si="8"/>
        <v>0</v>
      </c>
      <c r="K109" s="9" t="s">
        <v>27</v>
      </c>
      <c r="L109" s="9">
        <f t="shared" si="9"/>
        <v>0</v>
      </c>
      <c r="AA109" s="24"/>
      <c r="AB109" s="31">
        <v>63</v>
      </c>
      <c r="AC109" s="22">
        <v>101</v>
      </c>
      <c r="AD109" s="22">
        <v>99</v>
      </c>
      <c r="AE109" s="22">
        <v>96</v>
      </c>
      <c r="AF109" s="22">
        <v>93</v>
      </c>
      <c r="AG109" s="22">
        <v>92</v>
      </c>
      <c r="AH109" s="22">
        <v>90</v>
      </c>
      <c r="AI109" s="22">
        <v>88</v>
      </c>
      <c r="AJ109" s="22">
        <v>88</v>
      </c>
      <c r="AK109" s="22">
        <v>89</v>
      </c>
      <c r="AL109" s="22">
        <v>89</v>
      </c>
      <c r="AM109" s="22">
        <v>91</v>
      </c>
      <c r="AN109" s="22">
        <v>93</v>
      </c>
      <c r="AO109" s="22">
        <v>95</v>
      </c>
      <c r="AP109" s="23">
        <v>45</v>
      </c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  <c r="DA109" s="24"/>
      <c r="DB109" s="24"/>
      <c r="DC109" s="24"/>
      <c r="DD109" s="24"/>
      <c r="DE109" s="24"/>
      <c r="DF109" s="24"/>
      <c r="DG109" s="24"/>
      <c r="DH109" s="24"/>
      <c r="DI109" s="24"/>
      <c r="DJ109" s="24"/>
      <c r="DK109" s="24"/>
      <c r="DL109" s="24"/>
      <c r="DM109" s="24"/>
      <c r="DN109" s="24"/>
      <c r="DO109" s="24"/>
      <c r="DP109" s="24"/>
      <c r="DQ109" s="24"/>
      <c r="DR109" s="24"/>
      <c r="DS109" s="24"/>
      <c r="DT109" s="24"/>
      <c r="DU109" s="24"/>
      <c r="DV109" s="24"/>
      <c r="DW109" s="24"/>
      <c r="DX109" s="24"/>
      <c r="DY109" s="24"/>
      <c r="DZ109" s="24"/>
      <c r="EA109" s="24"/>
      <c r="EB109" s="24"/>
      <c r="EC109" s="24"/>
      <c r="ED109" s="24"/>
      <c r="EE109" s="24"/>
      <c r="EF109" s="24"/>
      <c r="EG109" s="24"/>
      <c r="EH109" s="24"/>
      <c r="EI109" s="24"/>
      <c r="EJ109" s="24"/>
      <c r="EK109" s="24"/>
      <c r="EL109" s="24"/>
      <c r="EM109" s="24"/>
      <c r="EN109" s="24"/>
      <c r="EO109" s="24"/>
      <c r="EP109" s="24"/>
      <c r="EQ109" s="24"/>
      <c r="ER109" s="24"/>
      <c r="ES109" s="24"/>
      <c r="ET109" s="24"/>
      <c r="EU109" s="24"/>
      <c r="EV109" s="24"/>
      <c r="EW109" s="24"/>
      <c r="EX109" s="24"/>
      <c r="EY109" s="24"/>
      <c r="EZ109" s="24"/>
    </row>
    <row r="110" spans="1:156" hidden="1">
      <c r="B110" s="9">
        <v>14</v>
      </c>
      <c r="C110" s="9">
        <f>IF(C55=14,1,IF(C55=41,1,0))</f>
        <v>0</v>
      </c>
      <c r="E110" s="43" t="s">
        <v>25</v>
      </c>
      <c r="F110" s="9">
        <f t="shared" si="7"/>
        <v>0</v>
      </c>
      <c r="H110" s="9" t="s">
        <v>26</v>
      </c>
      <c r="I110" s="9">
        <f t="shared" si="8"/>
        <v>0</v>
      </c>
      <c r="K110" s="9" t="s">
        <v>28</v>
      </c>
      <c r="L110" s="9">
        <f t="shared" si="9"/>
        <v>0</v>
      </c>
      <c r="AA110" s="24"/>
      <c r="AB110" s="31">
        <v>64</v>
      </c>
      <c r="AC110" s="22">
        <v>101</v>
      </c>
      <c r="AD110" s="22">
        <v>99</v>
      </c>
      <c r="AE110" s="22">
        <v>96</v>
      </c>
      <c r="AF110" s="22">
        <v>93</v>
      </c>
      <c r="AG110" s="22">
        <v>92</v>
      </c>
      <c r="AH110" s="22">
        <v>90</v>
      </c>
      <c r="AI110" s="22">
        <v>88</v>
      </c>
      <c r="AJ110" s="22">
        <v>88</v>
      </c>
      <c r="AK110" s="22">
        <v>89</v>
      </c>
      <c r="AL110" s="22">
        <v>89</v>
      </c>
      <c r="AM110" s="22">
        <v>91</v>
      </c>
      <c r="AN110" s="22">
        <v>93</v>
      </c>
      <c r="AO110" s="22">
        <v>95</v>
      </c>
      <c r="AP110" s="22">
        <v>46</v>
      </c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/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24"/>
      <c r="CQ110" s="24"/>
      <c r="CR110" s="24"/>
      <c r="CS110" s="24"/>
      <c r="CT110" s="24"/>
      <c r="CU110" s="24"/>
      <c r="CV110" s="24"/>
      <c r="CW110" s="24"/>
      <c r="CX110" s="24"/>
      <c r="CY110" s="24"/>
      <c r="CZ110" s="24"/>
      <c r="DA110" s="24"/>
      <c r="DB110" s="24"/>
      <c r="DC110" s="24"/>
      <c r="DD110" s="24"/>
      <c r="DE110" s="24"/>
      <c r="DF110" s="24"/>
      <c r="DG110" s="24"/>
      <c r="DH110" s="24"/>
      <c r="DI110" s="24"/>
      <c r="DJ110" s="24"/>
      <c r="DK110" s="24"/>
      <c r="DL110" s="24"/>
      <c r="DM110" s="24"/>
      <c r="DN110" s="24"/>
      <c r="DO110" s="24"/>
      <c r="DP110" s="24"/>
      <c r="DQ110" s="24"/>
      <c r="DR110" s="24"/>
      <c r="DS110" s="24"/>
      <c r="DT110" s="24"/>
      <c r="DU110" s="24"/>
      <c r="DV110" s="24"/>
      <c r="DW110" s="24"/>
      <c r="DX110" s="24"/>
      <c r="DY110" s="24"/>
      <c r="DZ110" s="24"/>
      <c r="EA110" s="24"/>
      <c r="EB110" s="24"/>
      <c r="EC110" s="24"/>
      <c r="ED110" s="24"/>
      <c r="EE110" s="24"/>
      <c r="EF110" s="24"/>
      <c r="EG110" s="24"/>
      <c r="EH110" s="24"/>
      <c r="EI110" s="24"/>
      <c r="EJ110" s="24"/>
      <c r="EK110" s="24"/>
      <c r="EL110" s="24"/>
      <c r="EM110" s="24"/>
      <c r="EN110" s="24"/>
      <c r="EO110" s="24"/>
      <c r="EP110" s="24"/>
      <c r="EQ110" s="24"/>
      <c r="ER110" s="24"/>
      <c r="ES110" s="24"/>
      <c r="ET110" s="24"/>
      <c r="EU110" s="24"/>
      <c r="EV110" s="24"/>
      <c r="EW110" s="24"/>
      <c r="EX110" s="24"/>
      <c r="EY110" s="24"/>
      <c r="EZ110" s="24"/>
    </row>
    <row r="111" spans="1:156" hidden="1">
      <c r="B111" s="9">
        <v>45</v>
      </c>
      <c r="C111" s="9">
        <f>IF(C56=45,1,IF(C56=54,1,0))</f>
        <v>0</v>
      </c>
      <c r="E111" s="43" t="s">
        <v>26</v>
      </c>
      <c r="F111" s="9">
        <f t="shared" si="7"/>
        <v>0</v>
      </c>
      <c r="H111" s="9" t="s">
        <v>24</v>
      </c>
      <c r="I111" s="9">
        <f t="shared" si="8"/>
        <v>0</v>
      </c>
      <c r="K111" s="9" t="s">
        <v>24</v>
      </c>
      <c r="L111" s="9">
        <f t="shared" si="9"/>
        <v>0</v>
      </c>
      <c r="AA111" s="24"/>
      <c r="AB111" s="31">
        <v>65</v>
      </c>
      <c r="AC111" s="22">
        <v>101</v>
      </c>
      <c r="AD111" s="22">
        <v>99</v>
      </c>
      <c r="AE111" s="22">
        <v>96</v>
      </c>
      <c r="AF111" s="22">
        <v>93</v>
      </c>
      <c r="AG111" s="22">
        <v>92</v>
      </c>
      <c r="AH111" s="22">
        <v>90</v>
      </c>
      <c r="AI111" s="22">
        <v>88</v>
      </c>
      <c r="AJ111" s="22">
        <v>88</v>
      </c>
      <c r="AK111" s="22">
        <v>89</v>
      </c>
      <c r="AL111" s="22">
        <v>89</v>
      </c>
      <c r="AM111" s="22">
        <v>91</v>
      </c>
      <c r="AN111" s="22">
        <v>93</v>
      </c>
      <c r="AO111" s="22">
        <v>95</v>
      </c>
      <c r="AP111" s="23">
        <v>48</v>
      </c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  <c r="DH111" s="24"/>
      <c r="DI111" s="24"/>
      <c r="DJ111" s="24"/>
      <c r="DK111" s="24"/>
      <c r="DL111" s="24"/>
      <c r="DM111" s="24"/>
      <c r="DN111" s="24"/>
      <c r="DO111" s="24"/>
      <c r="DP111" s="24"/>
      <c r="DQ111" s="24"/>
      <c r="DR111" s="24"/>
      <c r="DS111" s="24"/>
      <c r="DT111" s="24"/>
      <c r="DU111" s="24"/>
      <c r="DV111" s="24"/>
      <c r="DW111" s="24"/>
      <c r="DX111" s="24"/>
      <c r="DY111" s="24"/>
      <c r="DZ111" s="24"/>
      <c r="EA111" s="24"/>
      <c r="EB111" s="24"/>
      <c r="EC111" s="24"/>
      <c r="ED111" s="24"/>
      <c r="EE111" s="24"/>
      <c r="EF111" s="24"/>
      <c r="EG111" s="24"/>
      <c r="EH111" s="24"/>
      <c r="EI111" s="24"/>
      <c r="EJ111" s="24"/>
      <c r="EK111" s="24"/>
      <c r="EL111" s="24"/>
      <c r="EM111" s="24"/>
      <c r="EN111" s="24"/>
      <c r="EO111" s="24"/>
      <c r="EP111" s="24"/>
      <c r="EQ111" s="24"/>
      <c r="ER111" s="24"/>
      <c r="ES111" s="24"/>
      <c r="ET111" s="24"/>
      <c r="EU111" s="24"/>
      <c r="EV111" s="24"/>
      <c r="EW111" s="24"/>
      <c r="EX111" s="24"/>
      <c r="EY111" s="24"/>
      <c r="EZ111" s="24"/>
    </row>
    <row r="112" spans="1:156" hidden="1">
      <c r="B112" s="9">
        <v>36</v>
      </c>
      <c r="C112" s="9">
        <f>IF(C57=36,1,IF(C57=63,1,0))</f>
        <v>0</v>
      </c>
      <c r="E112" s="43" t="s">
        <v>25</v>
      </c>
      <c r="F112" s="9">
        <f t="shared" si="7"/>
        <v>0</v>
      </c>
      <c r="H112" s="9" t="s">
        <v>27</v>
      </c>
      <c r="I112" s="9">
        <f t="shared" si="8"/>
        <v>0</v>
      </c>
      <c r="K112" s="9" t="s">
        <v>25</v>
      </c>
      <c r="L112" s="9">
        <f t="shared" si="9"/>
        <v>0</v>
      </c>
      <c r="AA112" s="24"/>
      <c r="AB112" s="31">
        <v>66</v>
      </c>
      <c r="AC112" s="22">
        <v>101</v>
      </c>
      <c r="AD112" s="22">
        <v>99</v>
      </c>
      <c r="AE112" s="22">
        <v>96</v>
      </c>
      <c r="AF112" s="22">
        <v>93</v>
      </c>
      <c r="AG112" s="22">
        <v>92</v>
      </c>
      <c r="AH112" s="22">
        <v>90</v>
      </c>
      <c r="AI112" s="22">
        <v>88</v>
      </c>
      <c r="AJ112" s="22">
        <v>88</v>
      </c>
      <c r="AK112" s="22">
        <v>89</v>
      </c>
      <c r="AL112" s="22">
        <v>89</v>
      </c>
      <c r="AM112" s="22">
        <v>91</v>
      </c>
      <c r="AN112" s="22">
        <v>93</v>
      </c>
      <c r="AO112" s="22">
        <v>95</v>
      </c>
      <c r="AP112" s="22">
        <v>49</v>
      </c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  <c r="DH112" s="24"/>
      <c r="DI112" s="24"/>
      <c r="DJ112" s="24"/>
      <c r="DK112" s="24"/>
      <c r="DL112" s="24"/>
      <c r="DM112" s="24"/>
      <c r="DN112" s="24"/>
      <c r="DO112" s="24"/>
      <c r="DP112" s="24"/>
      <c r="DQ112" s="24"/>
      <c r="DR112" s="24"/>
      <c r="DS112" s="24"/>
      <c r="DT112" s="24"/>
      <c r="DU112" s="24"/>
      <c r="DV112" s="24"/>
      <c r="DW112" s="24"/>
      <c r="DX112" s="24"/>
      <c r="DY112" s="24"/>
      <c r="DZ112" s="24"/>
      <c r="EA112" s="24"/>
      <c r="EB112" s="24"/>
      <c r="EC112" s="24"/>
      <c r="ED112" s="24"/>
      <c r="EE112" s="24"/>
      <c r="EF112" s="24"/>
      <c r="EG112" s="24"/>
      <c r="EH112" s="24"/>
      <c r="EI112" s="24"/>
      <c r="EJ112" s="24"/>
      <c r="EK112" s="24"/>
      <c r="EL112" s="24"/>
      <c r="EM112" s="24"/>
      <c r="EN112" s="24"/>
      <c r="EO112" s="24"/>
      <c r="EP112" s="24"/>
      <c r="EQ112" s="24"/>
      <c r="ER112" s="24"/>
      <c r="ES112" s="24"/>
      <c r="ET112" s="24"/>
      <c r="EU112" s="24"/>
      <c r="EV112" s="24"/>
      <c r="EW112" s="24"/>
      <c r="EX112" s="24"/>
      <c r="EY112" s="24"/>
      <c r="EZ112" s="24"/>
    </row>
    <row r="113" spans="2:156" hidden="1">
      <c r="B113" s="9">
        <v>12</v>
      </c>
      <c r="C113" s="9">
        <f>IF(C58=12,1,IF(C58=21,1,0))</f>
        <v>0</v>
      </c>
      <c r="E113" s="43" t="s">
        <v>27</v>
      </c>
      <c r="F113" s="9">
        <f t="shared" si="7"/>
        <v>0</v>
      </c>
      <c r="H113" s="9" t="s">
        <v>26</v>
      </c>
      <c r="I113" s="9">
        <f t="shared" si="8"/>
        <v>0</v>
      </c>
      <c r="K113" s="9" t="s">
        <v>26</v>
      </c>
      <c r="L113" s="9">
        <f t="shared" si="9"/>
        <v>0</v>
      </c>
      <c r="AA113" s="24"/>
      <c r="AB113" s="31">
        <v>67</v>
      </c>
      <c r="AC113" s="22">
        <v>101</v>
      </c>
      <c r="AD113" s="22">
        <v>99</v>
      </c>
      <c r="AE113" s="22">
        <v>96</v>
      </c>
      <c r="AF113" s="22">
        <v>93</v>
      </c>
      <c r="AG113" s="22">
        <v>92</v>
      </c>
      <c r="AH113" s="22">
        <v>90</v>
      </c>
      <c r="AI113" s="22">
        <v>88</v>
      </c>
      <c r="AJ113" s="22">
        <v>88</v>
      </c>
      <c r="AK113" s="22">
        <v>89</v>
      </c>
      <c r="AL113" s="22">
        <v>89</v>
      </c>
      <c r="AM113" s="22">
        <v>91</v>
      </c>
      <c r="AN113" s="22">
        <v>93</v>
      </c>
      <c r="AO113" s="22">
        <v>95</v>
      </c>
      <c r="AP113" s="23">
        <v>51</v>
      </c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24"/>
      <c r="DB113" s="24"/>
      <c r="DC113" s="24"/>
      <c r="DD113" s="24"/>
      <c r="DE113" s="24"/>
      <c r="DF113" s="24"/>
      <c r="DG113" s="24"/>
      <c r="DH113" s="24"/>
      <c r="DI113" s="24"/>
      <c r="DJ113" s="24"/>
      <c r="DK113" s="24"/>
      <c r="DL113" s="24"/>
      <c r="DM113" s="24"/>
      <c r="DN113" s="24"/>
      <c r="DO113" s="24"/>
      <c r="DP113" s="24"/>
      <c r="DQ113" s="24"/>
      <c r="DR113" s="24"/>
      <c r="DS113" s="24"/>
      <c r="DT113" s="24"/>
      <c r="DU113" s="24"/>
      <c r="DV113" s="24"/>
      <c r="DW113" s="24"/>
      <c r="DX113" s="24"/>
      <c r="DY113" s="24"/>
      <c r="DZ113" s="24"/>
      <c r="EA113" s="24"/>
      <c r="EB113" s="24"/>
      <c r="EC113" s="24"/>
      <c r="ED113" s="24"/>
      <c r="EE113" s="24"/>
      <c r="EF113" s="24"/>
      <c r="EG113" s="24"/>
      <c r="EH113" s="24"/>
      <c r="EI113" s="24"/>
      <c r="EJ113" s="24"/>
      <c r="EK113" s="24"/>
      <c r="EL113" s="24"/>
      <c r="EM113" s="24"/>
      <c r="EN113" s="24"/>
      <c r="EO113" s="24"/>
      <c r="EP113" s="24"/>
      <c r="EQ113" s="24"/>
      <c r="ER113" s="24"/>
      <c r="ES113" s="24"/>
      <c r="ET113" s="24"/>
      <c r="EU113" s="24"/>
      <c r="EV113" s="24"/>
      <c r="EW113" s="24"/>
      <c r="EX113" s="24"/>
      <c r="EY113" s="24"/>
      <c r="EZ113" s="24"/>
    </row>
    <row r="114" spans="2:156" hidden="1">
      <c r="B114" s="9">
        <v>80</v>
      </c>
      <c r="C114" s="9">
        <f>IF(C59=80,1,IF(C59=8,1,0))</f>
        <v>0</v>
      </c>
      <c r="E114" s="43" t="s">
        <v>28</v>
      </c>
      <c r="F114" s="9">
        <f t="shared" si="7"/>
        <v>0</v>
      </c>
      <c r="H114" s="9" t="s">
        <v>27</v>
      </c>
      <c r="I114" s="9">
        <f t="shared" si="8"/>
        <v>0</v>
      </c>
      <c r="K114" s="9" t="s">
        <v>27</v>
      </c>
      <c r="L114" s="9">
        <f t="shared" si="9"/>
        <v>0</v>
      </c>
      <c r="AA114" s="24"/>
      <c r="AB114" s="31">
        <v>68</v>
      </c>
      <c r="AC114" s="22">
        <v>101</v>
      </c>
      <c r="AD114" s="22">
        <v>99</v>
      </c>
      <c r="AE114" s="22">
        <v>96</v>
      </c>
      <c r="AF114" s="22">
        <v>93</v>
      </c>
      <c r="AG114" s="22">
        <v>92</v>
      </c>
      <c r="AH114" s="22">
        <v>90</v>
      </c>
      <c r="AI114" s="22">
        <v>88</v>
      </c>
      <c r="AJ114" s="22">
        <v>88</v>
      </c>
      <c r="AK114" s="22">
        <v>89</v>
      </c>
      <c r="AL114" s="22">
        <v>89</v>
      </c>
      <c r="AM114" s="22">
        <v>91</v>
      </c>
      <c r="AN114" s="22">
        <v>93</v>
      </c>
      <c r="AO114" s="22">
        <v>95</v>
      </c>
      <c r="AP114" s="22">
        <v>52</v>
      </c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  <c r="DH114" s="24"/>
      <c r="DI114" s="24"/>
      <c r="DJ114" s="24"/>
      <c r="DK114" s="24"/>
      <c r="DL114" s="24"/>
      <c r="DM114" s="24"/>
      <c r="DN114" s="24"/>
      <c r="DO114" s="24"/>
      <c r="DP114" s="24"/>
      <c r="DQ114" s="24"/>
      <c r="DR114" s="24"/>
      <c r="DS114" s="24"/>
      <c r="DT114" s="24"/>
      <c r="DU114" s="24"/>
      <c r="DV114" s="24"/>
      <c r="DW114" s="24"/>
      <c r="DX114" s="24"/>
      <c r="DY114" s="24"/>
      <c r="DZ114" s="24"/>
      <c r="EA114" s="24"/>
      <c r="EB114" s="24"/>
      <c r="EC114" s="24"/>
      <c r="ED114" s="24"/>
      <c r="EE114" s="24"/>
      <c r="EF114" s="24"/>
      <c r="EG114" s="24"/>
      <c r="EH114" s="24"/>
      <c r="EI114" s="24"/>
      <c r="EJ114" s="24"/>
      <c r="EK114" s="24"/>
      <c r="EL114" s="24"/>
      <c r="EM114" s="24"/>
      <c r="EN114" s="24"/>
      <c r="EO114" s="24"/>
      <c r="EP114" s="24"/>
      <c r="EQ114" s="24"/>
      <c r="ER114" s="24"/>
      <c r="ES114" s="24"/>
      <c r="ET114" s="24"/>
      <c r="EU114" s="24"/>
      <c r="EV114" s="24"/>
      <c r="EW114" s="24"/>
      <c r="EX114" s="24"/>
      <c r="EY114" s="24"/>
      <c r="EZ114" s="24"/>
    </row>
    <row r="115" spans="2:156" hidden="1">
      <c r="B115" s="9">
        <v>14</v>
      </c>
      <c r="C115" s="9">
        <f>IF(C60=14,1,IF(C60=41,1,0))</f>
        <v>0</v>
      </c>
      <c r="E115" s="43" t="s">
        <v>27</v>
      </c>
      <c r="F115" s="9">
        <f t="shared" si="7"/>
        <v>0</v>
      </c>
      <c r="H115" s="9" t="s">
        <v>28</v>
      </c>
      <c r="I115" s="9">
        <f t="shared" si="8"/>
        <v>0</v>
      </c>
      <c r="K115" s="9" t="s">
        <v>24</v>
      </c>
      <c r="L115" s="9">
        <f t="shared" si="9"/>
        <v>0</v>
      </c>
      <c r="AA115" s="24"/>
      <c r="AB115" s="31">
        <v>69</v>
      </c>
      <c r="AC115" s="22">
        <v>101</v>
      </c>
      <c r="AD115" s="22">
        <v>99</v>
      </c>
      <c r="AE115" s="22">
        <v>96</v>
      </c>
      <c r="AF115" s="22">
        <v>93</v>
      </c>
      <c r="AG115" s="22">
        <v>92</v>
      </c>
      <c r="AH115" s="22">
        <v>90</v>
      </c>
      <c r="AI115" s="22">
        <v>88</v>
      </c>
      <c r="AJ115" s="22">
        <v>88</v>
      </c>
      <c r="AK115" s="22">
        <v>89</v>
      </c>
      <c r="AL115" s="22">
        <v>89</v>
      </c>
      <c r="AM115" s="22">
        <v>91</v>
      </c>
      <c r="AN115" s="22">
        <v>93</v>
      </c>
      <c r="AO115" s="22">
        <v>95</v>
      </c>
      <c r="AP115" s="23">
        <v>54</v>
      </c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4"/>
      <c r="DP115" s="24"/>
      <c r="DQ115" s="24"/>
      <c r="DR115" s="24"/>
      <c r="DS115" s="24"/>
      <c r="DT115" s="24"/>
      <c r="DU115" s="24"/>
      <c r="DV115" s="24"/>
      <c r="DW115" s="24"/>
      <c r="DX115" s="24"/>
      <c r="DY115" s="24"/>
      <c r="DZ115" s="24"/>
      <c r="EA115" s="24"/>
      <c r="EB115" s="24"/>
      <c r="EC115" s="24"/>
      <c r="ED115" s="24"/>
      <c r="EE115" s="24"/>
      <c r="EF115" s="24"/>
      <c r="EG115" s="24"/>
      <c r="EH115" s="24"/>
      <c r="EI115" s="24"/>
      <c r="EJ115" s="24"/>
      <c r="EK115" s="24"/>
      <c r="EL115" s="24"/>
      <c r="EM115" s="24"/>
      <c r="EN115" s="24"/>
      <c r="EO115" s="24"/>
      <c r="EP115" s="24"/>
      <c r="EQ115" s="24"/>
      <c r="ER115" s="24"/>
      <c r="ES115" s="24"/>
      <c r="ET115" s="24"/>
      <c r="EU115" s="24"/>
      <c r="EV115" s="24"/>
      <c r="EW115" s="24"/>
      <c r="EX115" s="24"/>
      <c r="EY115" s="24"/>
      <c r="EZ115" s="24"/>
    </row>
    <row r="116" spans="2:156" hidden="1">
      <c r="B116" s="9">
        <v>12</v>
      </c>
      <c r="C116" s="9">
        <f>IF(C61=12,1,IF(C61=21,1,0))</f>
        <v>0</v>
      </c>
      <c r="E116" s="43" t="s">
        <v>26</v>
      </c>
      <c r="F116" s="9">
        <f t="shared" si="7"/>
        <v>0</v>
      </c>
      <c r="H116" s="9" t="s">
        <v>24</v>
      </c>
      <c r="I116" s="9">
        <f t="shared" si="8"/>
        <v>0</v>
      </c>
      <c r="K116" s="9" t="s">
        <v>28</v>
      </c>
      <c r="L116" s="9">
        <f t="shared" si="9"/>
        <v>0</v>
      </c>
      <c r="AA116" s="24"/>
      <c r="AB116" s="31">
        <v>70</v>
      </c>
      <c r="AC116" s="22">
        <v>101</v>
      </c>
      <c r="AD116" s="22">
        <v>99</v>
      </c>
      <c r="AE116" s="22">
        <v>96</v>
      </c>
      <c r="AF116" s="22">
        <v>93</v>
      </c>
      <c r="AG116" s="22">
        <v>92</v>
      </c>
      <c r="AH116" s="22">
        <v>90</v>
      </c>
      <c r="AI116" s="22">
        <v>88</v>
      </c>
      <c r="AJ116" s="22">
        <v>88</v>
      </c>
      <c r="AK116" s="22">
        <v>89</v>
      </c>
      <c r="AL116" s="22">
        <v>89</v>
      </c>
      <c r="AM116" s="22">
        <v>91</v>
      </c>
      <c r="AN116" s="22">
        <v>93</v>
      </c>
      <c r="AO116" s="22">
        <v>95</v>
      </c>
      <c r="AP116" s="22">
        <v>56</v>
      </c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  <c r="CW116" s="24"/>
      <c r="CX116" s="24"/>
      <c r="CY116" s="24"/>
      <c r="CZ116" s="24"/>
      <c r="DA116" s="24"/>
      <c r="DB116" s="24"/>
      <c r="DC116" s="24"/>
      <c r="DD116" s="24"/>
      <c r="DE116" s="24"/>
      <c r="DF116" s="24"/>
      <c r="DG116" s="24"/>
      <c r="DH116" s="24"/>
      <c r="DI116" s="24"/>
      <c r="DJ116" s="24"/>
      <c r="DK116" s="24"/>
      <c r="DL116" s="24"/>
      <c r="DM116" s="24"/>
      <c r="DN116" s="24"/>
      <c r="DO116" s="24"/>
      <c r="DP116" s="24"/>
      <c r="DQ116" s="24"/>
      <c r="DR116" s="24"/>
      <c r="DS116" s="24"/>
      <c r="DT116" s="24"/>
      <c r="DU116" s="24"/>
      <c r="DV116" s="24"/>
      <c r="DW116" s="24"/>
      <c r="DX116" s="24"/>
      <c r="DY116" s="24"/>
      <c r="DZ116" s="24"/>
      <c r="EA116" s="24"/>
      <c r="EB116" s="24"/>
      <c r="EC116" s="24"/>
      <c r="ED116" s="24"/>
      <c r="EE116" s="24"/>
      <c r="EF116" s="24"/>
      <c r="EG116" s="24"/>
      <c r="EH116" s="24"/>
      <c r="EI116" s="24"/>
      <c r="EJ116" s="24"/>
      <c r="EK116" s="24"/>
      <c r="EL116" s="24"/>
      <c r="EM116" s="24"/>
      <c r="EN116" s="24"/>
      <c r="EO116" s="24"/>
      <c r="EP116" s="24"/>
      <c r="EQ116" s="24"/>
      <c r="ER116" s="24"/>
      <c r="ES116" s="24"/>
      <c r="ET116" s="24"/>
      <c r="EU116" s="24"/>
      <c r="EV116" s="24"/>
      <c r="EW116" s="24"/>
      <c r="EX116" s="24"/>
      <c r="EY116" s="24"/>
      <c r="EZ116" s="24"/>
    </row>
    <row r="117" spans="2:156" hidden="1">
      <c r="B117" s="9">
        <v>36</v>
      </c>
      <c r="C117" s="9">
        <f>IF(C62=36,1,IF(C62=63,1,0))</f>
        <v>0</v>
      </c>
      <c r="E117" s="43" t="s">
        <v>25</v>
      </c>
      <c r="F117" s="9">
        <f t="shared" si="7"/>
        <v>0</v>
      </c>
      <c r="H117" s="9" t="s">
        <v>27</v>
      </c>
      <c r="I117" s="9">
        <f t="shared" si="8"/>
        <v>0</v>
      </c>
      <c r="K117" s="9" t="s">
        <v>25</v>
      </c>
      <c r="L117" s="9">
        <f t="shared" si="9"/>
        <v>0</v>
      </c>
      <c r="AA117" s="24"/>
      <c r="AB117" s="31">
        <v>71</v>
      </c>
      <c r="AC117" s="22">
        <v>107</v>
      </c>
      <c r="AD117" s="22">
        <v>105</v>
      </c>
      <c r="AE117" s="22">
        <v>101</v>
      </c>
      <c r="AF117" s="22">
        <v>98</v>
      </c>
      <c r="AG117" s="22">
        <v>96</v>
      </c>
      <c r="AH117" s="22">
        <v>94</v>
      </c>
      <c r="AI117" s="22">
        <v>92</v>
      </c>
      <c r="AJ117" s="22">
        <v>92</v>
      </c>
      <c r="AK117" s="22">
        <v>92</v>
      </c>
      <c r="AL117" s="22">
        <v>93</v>
      </c>
      <c r="AM117" s="22">
        <v>95</v>
      </c>
      <c r="AN117" s="22">
        <v>97</v>
      </c>
      <c r="AO117" s="22">
        <v>99</v>
      </c>
      <c r="AP117" s="23">
        <v>57</v>
      </c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  <c r="CD117" s="24"/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  <c r="DH117" s="24"/>
      <c r="DI117" s="24"/>
      <c r="DJ117" s="24"/>
      <c r="DK117" s="24"/>
      <c r="DL117" s="24"/>
      <c r="DM117" s="24"/>
      <c r="DN117" s="24"/>
      <c r="DO117" s="24"/>
      <c r="DP117" s="24"/>
      <c r="DQ117" s="24"/>
      <c r="DR117" s="24"/>
      <c r="DS117" s="24"/>
      <c r="DT117" s="24"/>
      <c r="DU117" s="24"/>
      <c r="DV117" s="24"/>
      <c r="DW117" s="24"/>
      <c r="DX117" s="24"/>
      <c r="DY117" s="24"/>
      <c r="DZ117" s="24"/>
      <c r="EA117" s="24"/>
      <c r="EB117" s="24"/>
      <c r="EC117" s="24"/>
      <c r="ED117" s="24"/>
      <c r="EE117" s="24"/>
      <c r="EF117" s="24"/>
      <c r="EG117" s="24"/>
      <c r="EH117" s="24"/>
      <c r="EI117" s="24"/>
      <c r="EJ117" s="24"/>
      <c r="EK117" s="24"/>
      <c r="EL117" s="24"/>
      <c r="EM117" s="24"/>
      <c r="EN117" s="24"/>
      <c r="EO117" s="24"/>
      <c r="EP117" s="24"/>
      <c r="EQ117" s="24"/>
      <c r="ER117" s="24"/>
      <c r="ES117" s="24"/>
      <c r="ET117" s="24"/>
      <c r="EU117" s="24"/>
      <c r="EV117" s="24"/>
      <c r="EW117" s="24"/>
      <c r="EX117" s="24"/>
      <c r="EY117" s="24"/>
      <c r="EZ117" s="24"/>
    </row>
    <row r="118" spans="2:156" hidden="1">
      <c r="B118" s="9">
        <v>10</v>
      </c>
      <c r="C118" s="9">
        <f>IF(C63=10,1,IF(C63=1,1,0))</f>
        <v>0</v>
      </c>
      <c r="E118" s="43" t="s">
        <v>25</v>
      </c>
      <c r="F118" s="9">
        <f t="shared" si="7"/>
        <v>0</v>
      </c>
      <c r="H118" s="9" t="s">
        <v>25</v>
      </c>
      <c r="I118" s="9">
        <f t="shared" si="8"/>
        <v>0</v>
      </c>
      <c r="K118" s="9" t="s">
        <v>26</v>
      </c>
      <c r="L118" s="9">
        <f t="shared" si="9"/>
        <v>0</v>
      </c>
      <c r="AA118" s="24"/>
      <c r="AB118" s="31">
        <v>72</v>
      </c>
      <c r="AC118" s="22">
        <v>107</v>
      </c>
      <c r="AD118" s="22">
        <v>105</v>
      </c>
      <c r="AE118" s="22">
        <v>101</v>
      </c>
      <c r="AF118" s="22">
        <v>98</v>
      </c>
      <c r="AG118" s="22">
        <v>96</v>
      </c>
      <c r="AH118" s="22">
        <v>94</v>
      </c>
      <c r="AI118" s="22">
        <v>92</v>
      </c>
      <c r="AJ118" s="22">
        <v>92</v>
      </c>
      <c r="AK118" s="22">
        <v>92</v>
      </c>
      <c r="AL118" s="22">
        <v>93</v>
      </c>
      <c r="AM118" s="22">
        <v>95</v>
      </c>
      <c r="AN118" s="22">
        <v>97</v>
      </c>
      <c r="AO118" s="22">
        <v>99</v>
      </c>
      <c r="AP118" s="22">
        <v>58</v>
      </c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  <c r="DH118" s="24"/>
      <c r="DI118" s="24"/>
      <c r="DJ118" s="24"/>
      <c r="DK118" s="24"/>
      <c r="DL118" s="24"/>
      <c r="DM118" s="24"/>
      <c r="DN118" s="24"/>
      <c r="DO118" s="24"/>
      <c r="DP118" s="24"/>
      <c r="DQ118" s="24"/>
      <c r="DR118" s="24"/>
      <c r="DS118" s="24"/>
      <c r="DT118" s="24"/>
      <c r="DU118" s="24"/>
      <c r="DV118" s="24"/>
      <c r="DW118" s="24"/>
      <c r="DX118" s="24"/>
      <c r="DY118" s="24"/>
      <c r="DZ118" s="24"/>
      <c r="EA118" s="24"/>
      <c r="EB118" s="24"/>
      <c r="EC118" s="24"/>
      <c r="ED118" s="24"/>
      <c r="EE118" s="24"/>
      <c r="EF118" s="24"/>
      <c r="EG118" s="24"/>
      <c r="EH118" s="24"/>
      <c r="EI118" s="24"/>
      <c r="EJ118" s="24"/>
      <c r="EK118" s="24"/>
      <c r="EL118" s="24"/>
      <c r="EM118" s="24"/>
      <c r="EN118" s="24"/>
      <c r="EO118" s="24"/>
      <c r="EP118" s="24"/>
      <c r="EQ118" s="24"/>
      <c r="ER118" s="24"/>
      <c r="ES118" s="24"/>
      <c r="ET118" s="24"/>
      <c r="EU118" s="24"/>
      <c r="EV118" s="24"/>
      <c r="EW118" s="24"/>
      <c r="EX118" s="24"/>
      <c r="EY118" s="24"/>
      <c r="EZ118" s="24"/>
    </row>
    <row r="119" spans="2:156" ht="13" hidden="1">
      <c r="C119" s="10">
        <f>SUM(C99:C118)</f>
        <v>0</v>
      </c>
      <c r="F119" s="10">
        <f>SUM(F99:F118)</f>
        <v>0</v>
      </c>
      <c r="I119" s="10">
        <f>SUM(I99:I118)</f>
        <v>0</v>
      </c>
      <c r="L119" s="10">
        <f>SUM(L99:L118)</f>
        <v>0</v>
      </c>
      <c r="AA119" s="24"/>
      <c r="AB119" s="31">
        <v>73</v>
      </c>
      <c r="AC119" s="22">
        <v>107</v>
      </c>
      <c r="AD119" s="22">
        <v>105</v>
      </c>
      <c r="AE119" s="22">
        <v>101</v>
      </c>
      <c r="AF119" s="22">
        <v>98</v>
      </c>
      <c r="AG119" s="22">
        <v>96</v>
      </c>
      <c r="AH119" s="22">
        <v>94</v>
      </c>
      <c r="AI119" s="22">
        <v>92</v>
      </c>
      <c r="AJ119" s="22">
        <v>92</v>
      </c>
      <c r="AK119" s="22">
        <v>92</v>
      </c>
      <c r="AL119" s="22">
        <v>93</v>
      </c>
      <c r="AM119" s="22">
        <v>95</v>
      </c>
      <c r="AN119" s="22">
        <v>97</v>
      </c>
      <c r="AO119" s="22">
        <v>99</v>
      </c>
      <c r="AP119" s="23">
        <v>60</v>
      </c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/>
      <c r="DH119" s="24"/>
      <c r="DI119" s="24"/>
      <c r="DJ119" s="24"/>
      <c r="DK119" s="24"/>
      <c r="DL119" s="24"/>
      <c r="DM119" s="24"/>
      <c r="DN119" s="24"/>
      <c r="DO119" s="24"/>
      <c r="DP119" s="24"/>
      <c r="DQ119" s="24"/>
      <c r="DR119" s="24"/>
      <c r="DS119" s="24"/>
      <c r="DT119" s="24"/>
      <c r="DU119" s="24"/>
      <c r="DV119" s="24"/>
      <c r="DW119" s="24"/>
      <c r="DX119" s="24"/>
      <c r="DY119" s="24"/>
      <c r="DZ119" s="24"/>
      <c r="EA119" s="24"/>
      <c r="EB119" s="24"/>
      <c r="EC119" s="24"/>
      <c r="ED119" s="24"/>
      <c r="EE119" s="24"/>
      <c r="EF119" s="24"/>
      <c r="EG119" s="24"/>
      <c r="EH119" s="24"/>
      <c r="EI119" s="24"/>
      <c r="EJ119" s="24"/>
      <c r="EK119" s="24"/>
      <c r="EL119" s="24"/>
      <c r="EM119" s="24"/>
      <c r="EN119" s="24"/>
      <c r="EO119" s="24"/>
      <c r="EP119" s="24"/>
      <c r="EQ119" s="24"/>
      <c r="ER119" s="24"/>
      <c r="ES119" s="24"/>
      <c r="ET119" s="24"/>
      <c r="EU119" s="24"/>
      <c r="EV119" s="24"/>
      <c r="EW119" s="24"/>
      <c r="EX119" s="24"/>
      <c r="EY119" s="24"/>
      <c r="EZ119" s="24"/>
    </row>
    <row r="120" spans="2:156" hidden="1">
      <c r="AA120" s="24"/>
      <c r="AB120" s="31">
        <v>74</v>
      </c>
      <c r="AC120" s="22">
        <v>107</v>
      </c>
      <c r="AD120" s="22">
        <v>105</v>
      </c>
      <c r="AE120" s="22">
        <v>101</v>
      </c>
      <c r="AF120" s="22">
        <v>98</v>
      </c>
      <c r="AG120" s="22">
        <v>96</v>
      </c>
      <c r="AH120" s="22">
        <v>94</v>
      </c>
      <c r="AI120" s="22">
        <v>92</v>
      </c>
      <c r="AJ120" s="22">
        <v>92</v>
      </c>
      <c r="AK120" s="22">
        <v>92</v>
      </c>
      <c r="AL120" s="22">
        <v>93</v>
      </c>
      <c r="AM120" s="22">
        <v>95</v>
      </c>
      <c r="AN120" s="22">
        <v>97</v>
      </c>
      <c r="AO120" s="22">
        <v>99</v>
      </c>
      <c r="AP120" s="22">
        <v>61</v>
      </c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4"/>
      <c r="CG120" s="24"/>
      <c r="CH120" s="24"/>
      <c r="CI120" s="24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  <c r="DH120" s="24"/>
      <c r="DI120" s="24"/>
      <c r="DJ120" s="24"/>
      <c r="DK120" s="24"/>
      <c r="DL120" s="24"/>
      <c r="DM120" s="24"/>
      <c r="DN120" s="24"/>
      <c r="DO120" s="24"/>
      <c r="DP120" s="24"/>
      <c r="DQ120" s="24"/>
      <c r="DR120" s="24"/>
      <c r="DS120" s="24"/>
      <c r="DT120" s="24"/>
      <c r="DU120" s="24"/>
      <c r="DV120" s="24"/>
      <c r="DW120" s="24"/>
      <c r="DX120" s="24"/>
      <c r="DY120" s="24"/>
      <c r="DZ120" s="24"/>
      <c r="EA120" s="24"/>
      <c r="EB120" s="24"/>
      <c r="EC120" s="24"/>
      <c r="ED120" s="24"/>
      <c r="EE120" s="24"/>
      <c r="EF120" s="24"/>
      <c r="EG120" s="24"/>
      <c r="EH120" s="24"/>
      <c r="EI120" s="24"/>
      <c r="EJ120" s="24"/>
      <c r="EK120" s="24"/>
      <c r="EL120" s="24"/>
      <c r="EM120" s="24"/>
      <c r="EN120" s="24"/>
      <c r="EO120" s="24"/>
      <c r="EP120" s="24"/>
      <c r="EQ120" s="24"/>
      <c r="ER120" s="24"/>
      <c r="ES120" s="24"/>
      <c r="ET120" s="24"/>
      <c r="EU120" s="24"/>
      <c r="EV120" s="24"/>
      <c r="EW120" s="24"/>
      <c r="EX120" s="24"/>
      <c r="EY120" s="24"/>
      <c r="EZ120" s="24"/>
    </row>
    <row r="121" spans="2:156" hidden="1">
      <c r="AA121" s="24"/>
      <c r="AB121" s="31">
        <v>75</v>
      </c>
      <c r="AC121" s="22">
        <v>107</v>
      </c>
      <c r="AD121" s="22">
        <v>105</v>
      </c>
      <c r="AE121" s="22">
        <v>101</v>
      </c>
      <c r="AF121" s="22">
        <v>98</v>
      </c>
      <c r="AG121" s="22">
        <v>96</v>
      </c>
      <c r="AH121" s="22">
        <v>94</v>
      </c>
      <c r="AI121" s="22">
        <v>92</v>
      </c>
      <c r="AJ121" s="22">
        <v>92</v>
      </c>
      <c r="AK121" s="22">
        <v>92</v>
      </c>
      <c r="AL121" s="22">
        <v>93</v>
      </c>
      <c r="AM121" s="22">
        <v>95</v>
      </c>
      <c r="AN121" s="22">
        <v>97</v>
      </c>
      <c r="AO121" s="22">
        <v>99</v>
      </c>
      <c r="AP121" s="23">
        <v>63</v>
      </c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B121" s="24"/>
      <c r="CC121" s="24"/>
      <c r="CD121" s="24"/>
      <c r="CE121" s="24"/>
      <c r="CF121" s="24"/>
      <c r="CG121" s="24"/>
      <c r="CH121" s="24"/>
      <c r="CI121" s="24"/>
      <c r="CJ121" s="24"/>
      <c r="CK121" s="24"/>
      <c r="CL121" s="24"/>
      <c r="CM121" s="24"/>
      <c r="CN121" s="24"/>
      <c r="CO121" s="24"/>
      <c r="CP121" s="24"/>
      <c r="CQ121" s="24"/>
      <c r="CR121" s="24"/>
      <c r="CS121" s="24"/>
      <c r="CT121" s="24"/>
      <c r="CU121" s="24"/>
      <c r="CV121" s="24"/>
      <c r="CW121" s="24"/>
      <c r="CX121" s="24"/>
      <c r="CY121" s="24"/>
      <c r="CZ121" s="24"/>
      <c r="DA121" s="24"/>
      <c r="DB121" s="24"/>
      <c r="DC121" s="24"/>
      <c r="DD121" s="24"/>
      <c r="DE121" s="24"/>
      <c r="DF121" s="24"/>
      <c r="DG121" s="24"/>
      <c r="DH121" s="24"/>
      <c r="DI121" s="24"/>
      <c r="DJ121" s="24"/>
      <c r="DK121" s="24"/>
      <c r="DL121" s="24"/>
      <c r="DM121" s="24"/>
      <c r="DN121" s="24"/>
      <c r="DO121" s="24"/>
      <c r="DP121" s="24"/>
      <c r="DQ121" s="24"/>
      <c r="DR121" s="24"/>
      <c r="DS121" s="24"/>
      <c r="DT121" s="24"/>
      <c r="DU121" s="24"/>
      <c r="DV121" s="24"/>
      <c r="DW121" s="24"/>
      <c r="DX121" s="24"/>
      <c r="DY121" s="24"/>
      <c r="DZ121" s="24"/>
      <c r="EA121" s="24"/>
      <c r="EB121" s="24"/>
      <c r="EC121" s="24"/>
      <c r="ED121" s="24"/>
      <c r="EE121" s="24"/>
      <c r="EF121" s="24"/>
      <c r="EG121" s="24"/>
      <c r="EH121" s="24"/>
      <c r="EI121" s="24"/>
      <c r="EJ121" s="24"/>
      <c r="EK121" s="24"/>
      <c r="EL121" s="24"/>
      <c r="EM121" s="24"/>
      <c r="EN121" s="24"/>
      <c r="EO121" s="24"/>
      <c r="EP121" s="24"/>
      <c r="EQ121" s="24"/>
      <c r="ER121" s="24"/>
      <c r="ES121" s="24"/>
      <c r="ET121" s="24"/>
      <c r="EU121" s="24"/>
      <c r="EV121" s="24"/>
      <c r="EW121" s="24"/>
      <c r="EX121" s="24"/>
      <c r="EY121" s="24"/>
      <c r="EZ121" s="24"/>
    </row>
    <row r="122" spans="2:156" hidden="1">
      <c r="AA122" s="24"/>
      <c r="AB122" s="31">
        <v>76</v>
      </c>
      <c r="AC122" s="22">
        <v>107</v>
      </c>
      <c r="AD122" s="22">
        <v>105</v>
      </c>
      <c r="AE122" s="22">
        <v>101</v>
      </c>
      <c r="AF122" s="22">
        <v>98</v>
      </c>
      <c r="AG122" s="22">
        <v>96</v>
      </c>
      <c r="AH122" s="22">
        <v>94</v>
      </c>
      <c r="AI122" s="22">
        <v>92</v>
      </c>
      <c r="AJ122" s="22">
        <v>92</v>
      </c>
      <c r="AK122" s="22">
        <v>92</v>
      </c>
      <c r="AL122" s="22">
        <v>93</v>
      </c>
      <c r="AM122" s="22">
        <v>95</v>
      </c>
      <c r="AN122" s="22">
        <v>97</v>
      </c>
      <c r="AO122" s="22">
        <v>99</v>
      </c>
      <c r="AP122" s="22">
        <v>64</v>
      </c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  <c r="DI122" s="24"/>
      <c r="DJ122" s="24"/>
      <c r="DK122" s="24"/>
      <c r="DL122" s="24"/>
      <c r="DM122" s="24"/>
      <c r="DN122" s="24"/>
      <c r="DO122" s="24"/>
      <c r="DP122" s="24"/>
      <c r="DQ122" s="24"/>
      <c r="DR122" s="24"/>
      <c r="DS122" s="24"/>
      <c r="DT122" s="24"/>
      <c r="DU122" s="24"/>
      <c r="DV122" s="24"/>
      <c r="DW122" s="24"/>
      <c r="DX122" s="24"/>
      <c r="DY122" s="24"/>
      <c r="DZ122" s="24"/>
      <c r="EA122" s="24"/>
      <c r="EB122" s="24"/>
      <c r="EC122" s="24"/>
      <c r="ED122" s="24"/>
      <c r="EE122" s="24"/>
      <c r="EF122" s="24"/>
      <c r="EG122" s="24"/>
      <c r="EH122" s="24"/>
      <c r="EI122" s="24"/>
      <c r="EJ122" s="24"/>
      <c r="EK122" s="24"/>
      <c r="EL122" s="24"/>
      <c r="EM122" s="24"/>
      <c r="EN122" s="24"/>
      <c r="EO122" s="24"/>
      <c r="EP122" s="24"/>
      <c r="EQ122" s="24"/>
      <c r="ER122" s="24"/>
      <c r="ES122" s="24"/>
      <c r="ET122" s="24"/>
      <c r="EU122" s="24"/>
      <c r="EV122" s="24"/>
      <c r="EW122" s="24"/>
      <c r="EX122" s="24"/>
      <c r="EY122" s="24"/>
      <c r="EZ122" s="24"/>
    </row>
    <row r="123" spans="2:156" hidden="1">
      <c r="AA123" s="24"/>
      <c r="AB123" s="31">
        <v>77</v>
      </c>
      <c r="AC123" s="22">
        <v>107</v>
      </c>
      <c r="AD123" s="22">
        <v>105</v>
      </c>
      <c r="AE123" s="22">
        <v>101</v>
      </c>
      <c r="AF123" s="22">
        <v>98</v>
      </c>
      <c r="AG123" s="22">
        <v>96</v>
      </c>
      <c r="AH123" s="22">
        <v>94</v>
      </c>
      <c r="AI123" s="22">
        <v>92</v>
      </c>
      <c r="AJ123" s="22">
        <v>92</v>
      </c>
      <c r="AK123" s="22">
        <v>92</v>
      </c>
      <c r="AL123" s="22">
        <v>93</v>
      </c>
      <c r="AM123" s="22">
        <v>95</v>
      </c>
      <c r="AN123" s="22">
        <v>97</v>
      </c>
      <c r="AO123" s="22">
        <v>99</v>
      </c>
      <c r="AP123" s="23">
        <v>66</v>
      </c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4"/>
      <c r="CC123" s="24"/>
      <c r="CD123" s="24"/>
      <c r="CE123" s="24"/>
      <c r="CF123" s="24"/>
      <c r="CG123" s="24"/>
      <c r="CH123" s="24"/>
      <c r="CI123" s="24"/>
      <c r="CJ123" s="24"/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C123" s="24"/>
      <c r="DD123" s="24"/>
      <c r="DE123" s="24"/>
      <c r="DF123" s="24"/>
      <c r="DG123" s="24"/>
      <c r="DH123" s="24"/>
      <c r="DI123" s="24"/>
      <c r="DJ123" s="24"/>
      <c r="DK123" s="24"/>
      <c r="DL123" s="24"/>
      <c r="DM123" s="24"/>
      <c r="DN123" s="24"/>
      <c r="DO123" s="24"/>
      <c r="DP123" s="24"/>
      <c r="DQ123" s="24"/>
      <c r="DR123" s="24"/>
      <c r="DS123" s="24"/>
      <c r="DT123" s="24"/>
      <c r="DU123" s="24"/>
      <c r="DV123" s="24"/>
      <c r="DW123" s="24"/>
      <c r="DX123" s="24"/>
      <c r="DY123" s="24"/>
      <c r="DZ123" s="24"/>
      <c r="EA123" s="24"/>
      <c r="EB123" s="24"/>
      <c r="EC123" s="24"/>
      <c r="ED123" s="24"/>
      <c r="EE123" s="24"/>
      <c r="EF123" s="24"/>
      <c r="EG123" s="24"/>
      <c r="EH123" s="24"/>
      <c r="EI123" s="24"/>
      <c r="EJ123" s="24"/>
      <c r="EK123" s="24"/>
      <c r="EL123" s="24"/>
      <c r="EM123" s="24"/>
      <c r="EN123" s="24"/>
      <c r="EO123" s="24"/>
      <c r="EP123" s="24"/>
      <c r="EQ123" s="24"/>
      <c r="ER123" s="24"/>
      <c r="ES123" s="24"/>
      <c r="ET123" s="24"/>
      <c r="EU123" s="24"/>
      <c r="EV123" s="24"/>
      <c r="EW123" s="24"/>
      <c r="EX123" s="24"/>
      <c r="EY123" s="24"/>
      <c r="EZ123" s="24"/>
    </row>
    <row r="124" spans="2:156">
      <c r="AA124" s="24"/>
      <c r="AB124" s="31">
        <v>78</v>
      </c>
      <c r="AC124" s="22">
        <v>107</v>
      </c>
      <c r="AD124" s="22">
        <v>105</v>
      </c>
      <c r="AE124" s="22">
        <v>101</v>
      </c>
      <c r="AF124" s="22">
        <v>98</v>
      </c>
      <c r="AG124" s="22">
        <v>96</v>
      </c>
      <c r="AH124" s="22">
        <v>94</v>
      </c>
      <c r="AI124" s="22">
        <v>92</v>
      </c>
      <c r="AJ124" s="22">
        <v>92</v>
      </c>
      <c r="AK124" s="22">
        <v>92</v>
      </c>
      <c r="AL124" s="22">
        <v>93</v>
      </c>
      <c r="AM124" s="22">
        <v>95</v>
      </c>
      <c r="AN124" s="22">
        <v>97</v>
      </c>
      <c r="AO124" s="22">
        <v>99</v>
      </c>
      <c r="AP124" s="22">
        <v>67</v>
      </c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4"/>
      <c r="CA124" s="24"/>
      <c r="CB124" s="24"/>
      <c r="CC124" s="24"/>
      <c r="CD124" s="24"/>
      <c r="CE124" s="24"/>
      <c r="CF124" s="24"/>
      <c r="CG124" s="24"/>
      <c r="CH124" s="24"/>
      <c r="CI124" s="24"/>
      <c r="CJ124" s="24"/>
      <c r="CK124" s="24"/>
      <c r="CL124" s="24"/>
      <c r="CM124" s="24"/>
      <c r="CN124" s="24"/>
      <c r="CO124" s="24"/>
      <c r="CP124" s="24"/>
      <c r="CQ124" s="24"/>
      <c r="CR124" s="24"/>
      <c r="CS124" s="24"/>
      <c r="CT124" s="24"/>
      <c r="CU124" s="24"/>
      <c r="CV124" s="24"/>
      <c r="CW124" s="24"/>
      <c r="CX124" s="24"/>
      <c r="CY124" s="24"/>
      <c r="CZ124" s="24"/>
      <c r="DA124" s="24"/>
      <c r="DB124" s="24"/>
      <c r="DC124" s="24"/>
      <c r="DD124" s="24"/>
      <c r="DE124" s="24"/>
      <c r="DF124" s="24"/>
      <c r="DG124" s="24"/>
      <c r="DH124" s="24"/>
      <c r="DI124" s="24"/>
      <c r="DJ124" s="24"/>
      <c r="DK124" s="24"/>
      <c r="DL124" s="24"/>
      <c r="DM124" s="24"/>
      <c r="DN124" s="24"/>
      <c r="DO124" s="24"/>
      <c r="DP124" s="24"/>
      <c r="DQ124" s="24"/>
      <c r="DR124" s="24"/>
      <c r="DS124" s="24"/>
      <c r="DT124" s="24"/>
      <c r="DU124" s="24"/>
      <c r="DV124" s="24"/>
      <c r="DW124" s="24"/>
      <c r="DX124" s="24"/>
      <c r="DY124" s="24"/>
      <c r="DZ124" s="24"/>
      <c r="EA124" s="24"/>
      <c r="EB124" s="24"/>
      <c r="EC124" s="24"/>
      <c r="ED124" s="24"/>
      <c r="EE124" s="24"/>
      <c r="EF124" s="24"/>
      <c r="EG124" s="24"/>
      <c r="EH124" s="24"/>
      <c r="EI124" s="24"/>
      <c r="EJ124" s="24"/>
      <c r="EK124" s="24"/>
      <c r="EL124" s="24"/>
      <c r="EM124" s="24"/>
      <c r="EN124" s="24"/>
      <c r="EO124" s="24"/>
      <c r="EP124" s="24"/>
      <c r="EQ124" s="24"/>
      <c r="ER124" s="24"/>
      <c r="ES124" s="24"/>
      <c r="ET124" s="24"/>
      <c r="EU124" s="24"/>
      <c r="EV124" s="24"/>
      <c r="EW124" s="24"/>
      <c r="EX124" s="24"/>
      <c r="EY124" s="24"/>
      <c r="EZ124" s="24"/>
    </row>
    <row r="125" spans="2:156">
      <c r="AA125" s="24"/>
      <c r="AB125" s="31">
        <v>79</v>
      </c>
      <c r="AC125" s="22">
        <v>107</v>
      </c>
      <c r="AD125" s="22">
        <v>105</v>
      </c>
      <c r="AE125" s="22">
        <v>101</v>
      </c>
      <c r="AF125" s="22">
        <v>98</v>
      </c>
      <c r="AG125" s="22">
        <v>96</v>
      </c>
      <c r="AH125" s="22">
        <v>94</v>
      </c>
      <c r="AI125" s="22">
        <v>92</v>
      </c>
      <c r="AJ125" s="22">
        <v>92</v>
      </c>
      <c r="AK125" s="22">
        <v>92</v>
      </c>
      <c r="AL125" s="22">
        <v>93</v>
      </c>
      <c r="AM125" s="22">
        <v>95</v>
      </c>
      <c r="AN125" s="22">
        <v>97</v>
      </c>
      <c r="AO125" s="22">
        <v>99</v>
      </c>
      <c r="AP125" s="23">
        <v>69</v>
      </c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B125" s="24"/>
      <c r="CC125" s="24"/>
      <c r="CD125" s="24"/>
      <c r="CE125" s="24"/>
      <c r="CF125" s="24"/>
      <c r="CG125" s="24"/>
      <c r="CH125" s="24"/>
      <c r="CI125" s="24"/>
      <c r="CJ125" s="24"/>
      <c r="CK125" s="24"/>
      <c r="CL125" s="24"/>
      <c r="CM125" s="24"/>
      <c r="CN125" s="24"/>
      <c r="CO125" s="24"/>
      <c r="CP125" s="24"/>
      <c r="CQ125" s="24"/>
      <c r="CR125" s="24"/>
      <c r="CS125" s="24"/>
      <c r="CT125" s="24"/>
      <c r="CU125" s="24"/>
      <c r="CV125" s="24"/>
      <c r="CW125" s="24"/>
      <c r="CX125" s="24"/>
      <c r="CY125" s="24"/>
      <c r="CZ125" s="24"/>
      <c r="DA125" s="24"/>
      <c r="DB125" s="24"/>
      <c r="DC125" s="24"/>
      <c r="DD125" s="24"/>
      <c r="DE125" s="24"/>
      <c r="DF125" s="24"/>
      <c r="DG125" s="24"/>
      <c r="DH125" s="24"/>
      <c r="DI125" s="24"/>
      <c r="DJ125" s="24"/>
      <c r="DK125" s="24"/>
      <c r="DL125" s="24"/>
      <c r="DM125" s="24"/>
      <c r="DN125" s="24"/>
      <c r="DO125" s="24"/>
      <c r="DP125" s="24"/>
      <c r="DQ125" s="24"/>
      <c r="DR125" s="24"/>
      <c r="DS125" s="24"/>
      <c r="DT125" s="24"/>
      <c r="DU125" s="24"/>
      <c r="DV125" s="24"/>
      <c r="DW125" s="24"/>
      <c r="DX125" s="24"/>
      <c r="DY125" s="24"/>
      <c r="DZ125" s="24"/>
      <c r="EA125" s="24"/>
      <c r="EB125" s="24"/>
      <c r="EC125" s="24"/>
      <c r="ED125" s="24"/>
      <c r="EE125" s="24"/>
      <c r="EF125" s="24"/>
      <c r="EG125" s="24"/>
      <c r="EH125" s="24"/>
      <c r="EI125" s="24"/>
      <c r="EJ125" s="24"/>
      <c r="EK125" s="24"/>
      <c r="EL125" s="24"/>
      <c r="EM125" s="24"/>
      <c r="EN125" s="24"/>
      <c r="EO125" s="24"/>
      <c r="EP125" s="24"/>
      <c r="EQ125" s="24"/>
      <c r="ER125" s="24"/>
      <c r="ES125" s="24"/>
      <c r="ET125" s="24"/>
      <c r="EU125" s="24"/>
      <c r="EV125" s="24"/>
      <c r="EW125" s="24"/>
      <c r="EX125" s="24"/>
      <c r="EY125" s="24"/>
      <c r="EZ125" s="24"/>
    </row>
    <row r="126" spans="2:156">
      <c r="AA126" s="24"/>
      <c r="AB126" s="31">
        <v>80</v>
      </c>
      <c r="AC126" s="22">
        <v>107</v>
      </c>
      <c r="AD126" s="22">
        <v>105</v>
      </c>
      <c r="AE126" s="22">
        <v>101</v>
      </c>
      <c r="AF126" s="22">
        <v>98</v>
      </c>
      <c r="AG126" s="22">
        <v>96</v>
      </c>
      <c r="AH126" s="22">
        <v>94</v>
      </c>
      <c r="AI126" s="22">
        <v>92</v>
      </c>
      <c r="AJ126" s="22">
        <v>92</v>
      </c>
      <c r="AK126" s="22">
        <v>92</v>
      </c>
      <c r="AL126" s="22">
        <v>93</v>
      </c>
      <c r="AM126" s="22">
        <v>95</v>
      </c>
      <c r="AN126" s="22">
        <v>97</v>
      </c>
      <c r="AO126" s="22">
        <v>99</v>
      </c>
      <c r="AP126" s="22">
        <v>70</v>
      </c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  <c r="CJ126" s="24"/>
      <c r="CK126" s="24"/>
      <c r="CL126" s="24"/>
      <c r="CM126" s="24"/>
      <c r="CN126" s="24"/>
      <c r="CO126" s="24"/>
      <c r="CP126" s="24"/>
      <c r="CQ126" s="24"/>
      <c r="CR126" s="24"/>
      <c r="CS126" s="24"/>
      <c r="CT126" s="24"/>
      <c r="CU126" s="24"/>
      <c r="CV126" s="24"/>
      <c r="CW126" s="24"/>
      <c r="CX126" s="24"/>
      <c r="CY126" s="24"/>
      <c r="CZ126" s="24"/>
      <c r="DA126" s="24"/>
      <c r="DB126" s="24"/>
      <c r="DC126" s="24"/>
      <c r="DD126" s="24"/>
      <c r="DE126" s="24"/>
      <c r="DF126" s="24"/>
      <c r="DG126" s="24"/>
      <c r="DH126" s="24"/>
      <c r="DI126" s="24"/>
      <c r="DJ126" s="24"/>
      <c r="DK126" s="24"/>
      <c r="DL126" s="24"/>
      <c r="DM126" s="24"/>
      <c r="DN126" s="24"/>
      <c r="DO126" s="24"/>
      <c r="DP126" s="24"/>
      <c r="DQ126" s="24"/>
      <c r="DR126" s="24"/>
      <c r="DS126" s="24"/>
      <c r="DT126" s="24"/>
      <c r="DU126" s="24"/>
      <c r="DV126" s="24"/>
      <c r="DW126" s="24"/>
      <c r="DX126" s="24"/>
      <c r="DY126" s="24"/>
      <c r="DZ126" s="24"/>
      <c r="EA126" s="24"/>
      <c r="EB126" s="24"/>
      <c r="EC126" s="24"/>
      <c r="ED126" s="24"/>
      <c r="EE126" s="24"/>
      <c r="EF126" s="24"/>
      <c r="EG126" s="24"/>
      <c r="EH126" s="24"/>
      <c r="EI126" s="24"/>
      <c r="EJ126" s="24"/>
      <c r="EK126" s="24"/>
      <c r="EL126" s="24"/>
      <c r="EM126" s="24"/>
      <c r="EN126" s="24"/>
      <c r="EO126" s="24"/>
      <c r="EP126" s="24"/>
      <c r="EQ126" s="24"/>
      <c r="ER126" s="24"/>
      <c r="ES126" s="24"/>
      <c r="ET126" s="24"/>
      <c r="EU126" s="24"/>
      <c r="EV126" s="24"/>
      <c r="EW126" s="24"/>
      <c r="EX126" s="24"/>
      <c r="EY126" s="24"/>
      <c r="EZ126" s="24"/>
    </row>
    <row r="127" spans="2:156">
      <c r="AA127" s="24"/>
      <c r="AB127" s="31">
        <v>81</v>
      </c>
      <c r="AC127" s="22">
        <v>114</v>
      </c>
      <c r="AD127" s="22">
        <v>110</v>
      </c>
      <c r="AE127" s="22">
        <v>106</v>
      </c>
      <c r="AF127" s="22">
        <v>102</v>
      </c>
      <c r="AG127" s="22">
        <v>101</v>
      </c>
      <c r="AH127" s="22">
        <v>98</v>
      </c>
      <c r="AI127" s="22">
        <v>95</v>
      </c>
      <c r="AJ127" s="22">
        <v>95</v>
      </c>
      <c r="AK127" s="22">
        <v>96</v>
      </c>
      <c r="AL127" s="22">
        <v>96</v>
      </c>
      <c r="AM127" s="22">
        <v>98</v>
      </c>
      <c r="AN127" s="22">
        <v>100</v>
      </c>
      <c r="AO127" s="22">
        <v>102</v>
      </c>
      <c r="AP127" s="23">
        <v>72</v>
      </c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  <c r="CD127" s="24"/>
      <c r="CE127" s="24"/>
      <c r="CF127" s="24"/>
      <c r="CG127" s="24"/>
      <c r="CH127" s="24"/>
      <c r="CI127" s="24"/>
      <c r="CJ127" s="24"/>
      <c r="CK127" s="24"/>
      <c r="CL127" s="24"/>
      <c r="CM127" s="24"/>
      <c r="CN127" s="24"/>
      <c r="CO127" s="24"/>
      <c r="CP127" s="24"/>
      <c r="CQ127" s="24"/>
      <c r="CR127" s="24"/>
      <c r="CS127" s="24"/>
      <c r="CT127" s="24"/>
      <c r="CU127" s="24"/>
      <c r="CV127" s="24"/>
      <c r="CW127" s="24"/>
      <c r="CX127" s="24"/>
      <c r="CY127" s="24"/>
      <c r="CZ127" s="24"/>
      <c r="DA127" s="24"/>
      <c r="DB127" s="24"/>
      <c r="DC127" s="24"/>
      <c r="DD127" s="24"/>
      <c r="DE127" s="24"/>
      <c r="DF127" s="24"/>
      <c r="DG127" s="24"/>
      <c r="DH127" s="24"/>
      <c r="DI127" s="24"/>
      <c r="DJ127" s="24"/>
      <c r="DK127" s="24"/>
      <c r="DL127" s="24"/>
      <c r="DM127" s="24"/>
      <c r="DN127" s="24"/>
      <c r="DO127" s="24"/>
      <c r="DP127" s="24"/>
      <c r="DQ127" s="24"/>
      <c r="DR127" s="24"/>
      <c r="DS127" s="24"/>
      <c r="DT127" s="24"/>
      <c r="DU127" s="24"/>
      <c r="DV127" s="24"/>
      <c r="DW127" s="24"/>
      <c r="DX127" s="24"/>
      <c r="DY127" s="24"/>
      <c r="DZ127" s="24"/>
      <c r="EA127" s="24"/>
      <c r="EB127" s="24"/>
      <c r="EC127" s="24"/>
      <c r="ED127" s="24"/>
      <c r="EE127" s="24"/>
      <c r="EF127" s="24"/>
      <c r="EG127" s="24"/>
      <c r="EH127" s="24"/>
      <c r="EI127" s="24"/>
      <c r="EJ127" s="24"/>
      <c r="EK127" s="24"/>
      <c r="EL127" s="24"/>
      <c r="EM127" s="24"/>
      <c r="EN127" s="24"/>
      <c r="EO127" s="24"/>
      <c r="EP127" s="24"/>
      <c r="EQ127" s="24"/>
      <c r="ER127" s="24"/>
      <c r="ES127" s="24"/>
      <c r="ET127" s="24"/>
      <c r="EU127" s="24"/>
      <c r="EV127" s="24"/>
      <c r="EW127" s="24"/>
      <c r="EX127" s="24"/>
      <c r="EY127" s="24"/>
      <c r="EZ127" s="24"/>
    </row>
    <row r="128" spans="2:156" hidden="1">
      <c r="AA128" s="24"/>
      <c r="AB128" s="31">
        <v>82</v>
      </c>
      <c r="AC128" s="22">
        <v>114</v>
      </c>
      <c r="AD128" s="22">
        <v>110</v>
      </c>
      <c r="AE128" s="22">
        <v>106</v>
      </c>
      <c r="AF128" s="22">
        <v>102</v>
      </c>
      <c r="AG128" s="22">
        <v>101</v>
      </c>
      <c r="AH128" s="22">
        <v>98</v>
      </c>
      <c r="AI128" s="22">
        <v>95</v>
      </c>
      <c r="AJ128" s="22">
        <v>95</v>
      </c>
      <c r="AK128" s="22">
        <v>96</v>
      </c>
      <c r="AL128" s="22">
        <v>96</v>
      </c>
      <c r="AM128" s="22">
        <v>98</v>
      </c>
      <c r="AN128" s="22">
        <v>100</v>
      </c>
      <c r="AO128" s="22">
        <v>102</v>
      </c>
      <c r="AP128" s="22">
        <v>73</v>
      </c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4"/>
      <c r="CA128" s="24"/>
      <c r="CB128" s="24"/>
      <c r="CC128" s="24"/>
      <c r="CD128" s="24"/>
      <c r="CE128" s="24"/>
      <c r="CF128" s="24"/>
      <c r="CG128" s="24"/>
      <c r="CH128" s="24"/>
      <c r="CI128" s="24"/>
      <c r="CJ128" s="24"/>
      <c r="CK128" s="24"/>
      <c r="CL128" s="24"/>
      <c r="CM128" s="24"/>
      <c r="CN128" s="24"/>
      <c r="CO128" s="24"/>
      <c r="CP128" s="24"/>
      <c r="CQ128" s="24"/>
      <c r="CR128" s="24"/>
      <c r="CS128" s="24"/>
      <c r="CT128" s="24"/>
      <c r="CU128" s="24"/>
      <c r="CV128" s="24"/>
      <c r="CW128" s="24"/>
      <c r="CX128" s="24"/>
      <c r="CY128" s="24"/>
      <c r="CZ128" s="24"/>
      <c r="DA128" s="24"/>
      <c r="DB128" s="24"/>
      <c r="DC128" s="24"/>
      <c r="DD128" s="24"/>
      <c r="DE128" s="24"/>
      <c r="DF128" s="24"/>
      <c r="DG128" s="24"/>
      <c r="DH128" s="24"/>
      <c r="DI128" s="24"/>
      <c r="DJ128" s="24"/>
      <c r="DK128" s="24"/>
      <c r="DL128" s="24"/>
      <c r="DM128" s="24"/>
      <c r="DN128" s="24"/>
      <c r="DO128" s="24"/>
      <c r="DP128" s="24"/>
      <c r="DQ128" s="24"/>
      <c r="DR128" s="24"/>
      <c r="DS128" s="24"/>
      <c r="DT128" s="24"/>
      <c r="DU128" s="24"/>
      <c r="DV128" s="24"/>
      <c r="DW128" s="24"/>
      <c r="DX128" s="24"/>
      <c r="DY128" s="24"/>
      <c r="DZ128" s="24"/>
      <c r="EA128" s="24"/>
      <c r="EB128" s="24"/>
      <c r="EC128" s="24"/>
      <c r="ED128" s="24"/>
      <c r="EE128" s="24"/>
      <c r="EF128" s="24"/>
      <c r="EG128" s="24"/>
      <c r="EH128" s="24"/>
      <c r="EI128" s="24"/>
      <c r="EJ128" s="24"/>
      <c r="EK128" s="24"/>
      <c r="EL128" s="24"/>
      <c r="EM128" s="24"/>
      <c r="EN128" s="24"/>
      <c r="EO128" s="24"/>
      <c r="EP128" s="24"/>
      <c r="EQ128" s="24"/>
      <c r="ER128" s="24"/>
      <c r="ES128" s="24"/>
      <c r="ET128" s="24"/>
      <c r="EU128" s="24"/>
      <c r="EV128" s="24"/>
      <c r="EW128" s="24"/>
      <c r="EX128" s="24"/>
      <c r="EY128" s="24"/>
      <c r="EZ128" s="24"/>
    </row>
    <row r="129" spans="1:156" hidden="1">
      <c r="A129" s="121" t="s">
        <v>286</v>
      </c>
      <c r="B129" s="121" t="s">
        <v>287</v>
      </c>
      <c r="C129" s="121"/>
      <c r="AA129" s="24"/>
      <c r="AB129" s="31">
        <v>83</v>
      </c>
      <c r="AC129" s="22">
        <v>114</v>
      </c>
      <c r="AD129" s="22">
        <v>110</v>
      </c>
      <c r="AE129" s="22">
        <v>106</v>
      </c>
      <c r="AF129" s="22">
        <v>102</v>
      </c>
      <c r="AG129" s="22">
        <v>101</v>
      </c>
      <c r="AH129" s="22">
        <v>98</v>
      </c>
      <c r="AI129" s="22">
        <v>95</v>
      </c>
      <c r="AJ129" s="22">
        <v>95</v>
      </c>
      <c r="AK129" s="22">
        <v>96</v>
      </c>
      <c r="AL129" s="22">
        <v>96</v>
      </c>
      <c r="AM129" s="22">
        <v>98</v>
      </c>
      <c r="AN129" s="22">
        <v>100</v>
      </c>
      <c r="AO129" s="22">
        <v>102</v>
      </c>
      <c r="AP129" s="23">
        <v>75</v>
      </c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4"/>
      <c r="DM129" s="24"/>
      <c r="DN129" s="24"/>
      <c r="DO129" s="24"/>
      <c r="DP129" s="24"/>
      <c r="DQ129" s="24"/>
      <c r="DR129" s="24"/>
      <c r="DS129" s="24"/>
      <c r="DT129" s="24"/>
      <c r="DU129" s="24"/>
      <c r="DV129" s="24"/>
      <c r="DW129" s="24"/>
      <c r="DX129" s="24"/>
      <c r="DY129" s="24"/>
      <c r="DZ129" s="24"/>
      <c r="EA129" s="24"/>
      <c r="EB129" s="24"/>
      <c r="EC129" s="24"/>
      <c r="ED129" s="24"/>
      <c r="EE129" s="24"/>
      <c r="EF129" s="24"/>
      <c r="EG129" s="24"/>
      <c r="EH129" s="24"/>
      <c r="EI129" s="24"/>
      <c r="EJ129" s="24"/>
      <c r="EK129" s="24"/>
      <c r="EL129" s="24"/>
      <c r="EM129" s="24"/>
      <c r="EN129" s="24"/>
      <c r="EO129" s="24"/>
      <c r="EP129" s="24"/>
      <c r="EQ129" s="24"/>
      <c r="ER129" s="24"/>
      <c r="ES129" s="24"/>
      <c r="ET129" s="24"/>
      <c r="EU129" s="24"/>
      <c r="EV129" s="24"/>
      <c r="EW129" s="24"/>
      <c r="EX129" s="24"/>
      <c r="EY129" s="24"/>
      <c r="EZ129" s="24"/>
    </row>
    <row r="130" spans="1:156" hidden="1">
      <c r="A130" s="121">
        <f>U30+U32</f>
        <v>0</v>
      </c>
      <c r="B130" s="121">
        <f>U29+U33</f>
        <v>0</v>
      </c>
      <c r="C130" s="121"/>
      <c r="AA130" s="24"/>
      <c r="AB130" s="31">
        <v>84</v>
      </c>
      <c r="AC130" s="22">
        <v>114</v>
      </c>
      <c r="AD130" s="22">
        <v>110</v>
      </c>
      <c r="AE130" s="22">
        <v>106</v>
      </c>
      <c r="AF130" s="22">
        <v>102</v>
      </c>
      <c r="AG130" s="22">
        <v>101</v>
      </c>
      <c r="AH130" s="22">
        <v>98</v>
      </c>
      <c r="AI130" s="22">
        <v>95</v>
      </c>
      <c r="AJ130" s="22">
        <v>95</v>
      </c>
      <c r="AK130" s="22">
        <v>96</v>
      </c>
      <c r="AL130" s="22">
        <v>96</v>
      </c>
      <c r="AM130" s="22">
        <v>98</v>
      </c>
      <c r="AN130" s="22">
        <v>100</v>
      </c>
      <c r="AO130" s="22">
        <v>102</v>
      </c>
      <c r="AP130" s="22">
        <v>76</v>
      </c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4"/>
      <c r="CA130" s="24"/>
      <c r="CB130" s="24"/>
      <c r="CC130" s="24"/>
      <c r="CD130" s="24"/>
      <c r="CE130" s="24"/>
      <c r="CF130" s="24"/>
      <c r="CG130" s="24"/>
      <c r="CH130" s="24"/>
      <c r="CI130" s="24"/>
      <c r="CJ130" s="24"/>
      <c r="CK130" s="24"/>
      <c r="CL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C130" s="24"/>
      <c r="DD130" s="24"/>
      <c r="DE130" s="24"/>
      <c r="DF130" s="24"/>
      <c r="DG130" s="24"/>
      <c r="DH130" s="24"/>
      <c r="DI130" s="24"/>
      <c r="DJ130" s="24"/>
      <c r="DK130" s="24"/>
      <c r="DL130" s="24"/>
      <c r="DM130" s="24"/>
      <c r="DN130" s="24"/>
      <c r="DO130" s="24"/>
      <c r="DP130" s="24"/>
      <c r="DQ130" s="24"/>
      <c r="DR130" s="24"/>
      <c r="DS130" s="24"/>
      <c r="DT130" s="24"/>
      <c r="DU130" s="24"/>
      <c r="DV130" s="24"/>
      <c r="DW130" s="24"/>
      <c r="DX130" s="24"/>
      <c r="DY130" s="24"/>
      <c r="DZ130" s="24"/>
      <c r="EA130" s="24"/>
      <c r="EB130" s="24"/>
      <c r="EC130" s="24"/>
      <c r="ED130" s="24"/>
      <c r="EE130" s="24"/>
      <c r="EF130" s="24"/>
      <c r="EG130" s="24"/>
      <c r="EH130" s="24"/>
      <c r="EI130" s="24"/>
      <c r="EJ130" s="24"/>
      <c r="EK130" s="24"/>
      <c r="EL130" s="24"/>
      <c r="EM130" s="24"/>
      <c r="EN130" s="24"/>
      <c r="EO130" s="24"/>
      <c r="EP130" s="24"/>
      <c r="EQ130" s="24"/>
      <c r="ER130" s="24"/>
      <c r="ES130" s="24"/>
      <c r="ET130" s="24"/>
      <c r="EU130" s="24"/>
      <c r="EV130" s="24"/>
      <c r="EW130" s="24"/>
      <c r="EX130" s="24"/>
      <c r="EY130" s="24"/>
      <c r="EZ130" s="24"/>
    </row>
    <row r="131" spans="1:156" hidden="1">
      <c r="A131" s="121"/>
      <c r="B131" s="121"/>
      <c r="C131" s="121"/>
      <c r="AA131" s="24"/>
      <c r="AB131" s="31">
        <v>85</v>
      </c>
      <c r="AC131" s="22">
        <v>114</v>
      </c>
      <c r="AD131" s="22">
        <v>110</v>
      </c>
      <c r="AE131" s="22">
        <v>106</v>
      </c>
      <c r="AF131" s="22">
        <v>102</v>
      </c>
      <c r="AG131" s="22">
        <v>101</v>
      </c>
      <c r="AH131" s="22">
        <v>98</v>
      </c>
      <c r="AI131" s="22">
        <v>95</v>
      </c>
      <c r="AJ131" s="22">
        <v>95</v>
      </c>
      <c r="AK131" s="22">
        <v>96</v>
      </c>
      <c r="AL131" s="22">
        <v>96</v>
      </c>
      <c r="AM131" s="22">
        <v>98</v>
      </c>
      <c r="AN131" s="22">
        <v>100</v>
      </c>
      <c r="AO131" s="22">
        <v>102</v>
      </c>
      <c r="AP131" s="23">
        <v>78</v>
      </c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C131" s="24"/>
      <c r="DD131" s="24"/>
      <c r="DE131" s="24"/>
      <c r="DF131" s="24"/>
      <c r="DG131" s="24"/>
      <c r="DH131" s="24"/>
      <c r="DI131" s="24"/>
      <c r="DJ131" s="24"/>
      <c r="DK131" s="24"/>
      <c r="DL131" s="24"/>
      <c r="DM131" s="24"/>
      <c r="DN131" s="24"/>
      <c r="DO131" s="24"/>
      <c r="DP131" s="24"/>
      <c r="DQ131" s="24"/>
      <c r="DR131" s="24"/>
      <c r="DS131" s="24"/>
      <c r="DT131" s="24"/>
      <c r="DU131" s="24"/>
      <c r="DV131" s="24"/>
      <c r="DW131" s="24"/>
      <c r="DX131" s="24"/>
      <c r="DY131" s="24"/>
      <c r="DZ131" s="24"/>
      <c r="EA131" s="24"/>
      <c r="EB131" s="24"/>
      <c r="EC131" s="24"/>
      <c r="ED131" s="24"/>
      <c r="EE131" s="24"/>
      <c r="EF131" s="24"/>
      <c r="EG131" s="24"/>
      <c r="EH131" s="24"/>
      <c r="EI131" s="24"/>
      <c r="EJ131" s="24"/>
      <c r="EK131" s="24"/>
      <c r="EL131" s="24"/>
      <c r="EM131" s="24"/>
      <c r="EN131" s="24"/>
      <c r="EO131" s="24"/>
      <c r="EP131" s="24"/>
      <c r="EQ131" s="24"/>
      <c r="ER131" s="24"/>
      <c r="ES131" s="24"/>
      <c r="ET131" s="24"/>
      <c r="EU131" s="24"/>
      <c r="EV131" s="24"/>
      <c r="EW131" s="24"/>
      <c r="EX131" s="24"/>
      <c r="EY131" s="24"/>
      <c r="EZ131" s="24"/>
    </row>
    <row r="132" spans="1:156" hidden="1">
      <c r="AA132" s="24"/>
      <c r="AB132" s="31">
        <v>86</v>
      </c>
      <c r="AC132" s="22">
        <v>114</v>
      </c>
      <c r="AD132" s="22">
        <v>110</v>
      </c>
      <c r="AE132" s="22">
        <v>106</v>
      </c>
      <c r="AF132" s="22">
        <v>102</v>
      </c>
      <c r="AG132" s="22">
        <v>101</v>
      </c>
      <c r="AH132" s="22">
        <v>98</v>
      </c>
      <c r="AI132" s="22">
        <v>95</v>
      </c>
      <c r="AJ132" s="22">
        <v>95</v>
      </c>
      <c r="AK132" s="22">
        <v>96</v>
      </c>
      <c r="AL132" s="22">
        <v>96</v>
      </c>
      <c r="AM132" s="22">
        <v>98</v>
      </c>
      <c r="AN132" s="22">
        <v>100</v>
      </c>
      <c r="AO132" s="22">
        <v>102</v>
      </c>
      <c r="AP132" s="22">
        <v>79</v>
      </c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4"/>
      <c r="CA132" s="24"/>
      <c r="CB132" s="24"/>
      <c r="CC132" s="24"/>
      <c r="CD132" s="24"/>
      <c r="CE132" s="24"/>
      <c r="CF132" s="24"/>
      <c r="CG132" s="24"/>
      <c r="CH132" s="24"/>
      <c r="CI132" s="24"/>
      <c r="CJ132" s="24"/>
      <c r="CK132" s="24"/>
      <c r="CL132" s="24"/>
      <c r="CM132" s="24"/>
      <c r="CN132" s="24"/>
      <c r="CO132" s="24"/>
      <c r="CP132" s="24"/>
      <c r="CQ132" s="24"/>
      <c r="CR132" s="24"/>
      <c r="CS132" s="24"/>
      <c r="CT132" s="24"/>
      <c r="CU132" s="24"/>
      <c r="CV132" s="24"/>
      <c r="CW132" s="24"/>
      <c r="CX132" s="24"/>
      <c r="CY132" s="24"/>
      <c r="CZ132" s="24"/>
      <c r="DA132" s="24"/>
      <c r="DB132" s="24"/>
      <c r="DC132" s="24"/>
      <c r="DD132" s="24"/>
      <c r="DE132" s="24"/>
      <c r="DF132" s="24"/>
      <c r="DG132" s="24"/>
      <c r="DH132" s="24"/>
      <c r="DI132" s="24"/>
      <c r="DJ132" s="24"/>
      <c r="DK132" s="24"/>
      <c r="DL132" s="24"/>
      <c r="DM132" s="24"/>
      <c r="DN132" s="24"/>
      <c r="DO132" s="24"/>
      <c r="DP132" s="24"/>
      <c r="DQ132" s="24"/>
      <c r="DR132" s="24"/>
      <c r="DS132" s="24"/>
      <c r="DT132" s="24"/>
      <c r="DU132" s="24"/>
      <c r="DV132" s="24"/>
      <c r="DW132" s="24"/>
      <c r="DX132" s="24"/>
      <c r="DY132" s="24"/>
      <c r="DZ132" s="24"/>
      <c r="EA132" s="24"/>
      <c r="EB132" s="24"/>
      <c r="EC132" s="24"/>
      <c r="ED132" s="24"/>
      <c r="EE132" s="24"/>
      <c r="EF132" s="24"/>
      <c r="EG132" s="24"/>
      <c r="EH132" s="24"/>
      <c r="EI132" s="24"/>
      <c r="EJ132" s="24"/>
      <c r="EK132" s="24"/>
      <c r="EL132" s="24"/>
      <c r="EM132" s="24"/>
      <c r="EN132" s="24"/>
      <c r="EO132" s="24"/>
      <c r="EP132" s="24"/>
      <c r="EQ132" s="24"/>
      <c r="ER132" s="24"/>
      <c r="ES132" s="24"/>
      <c r="ET132" s="24"/>
      <c r="EU132" s="24"/>
      <c r="EV132" s="24"/>
      <c r="EW132" s="24"/>
      <c r="EX132" s="24"/>
      <c r="EY132" s="24"/>
      <c r="EZ132" s="24"/>
    </row>
    <row r="133" spans="1:156" hidden="1">
      <c r="AA133" s="24"/>
      <c r="AB133" s="31">
        <v>87</v>
      </c>
      <c r="AC133" s="22">
        <v>114</v>
      </c>
      <c r="AD133" s="22">
        <v>110</v>
      </c>
      <c r="AE133" s="22">
        <v>106</v>
      </c>
      <c r="AF133" s="22">
        <v>102</v>
      </c>
      <c r="AG133" s="22">
        <v>101</v>
      </c>
      <c r="AH133" s="22">
        <v>98</v>
      </c>
      <c r="AI133" s="22">
        <v>95</v>
      </c>
      <c r="AJ133" s="22">
        <v>95</v>
      </c>
      <c r="AK133" s="22">
        <v>96</v>
      </c>
      <c r="AL133" s="22">
        <v>96</v>
      </c>
      <c r="AM133" s="22">
        <v>98</v>
      </c>
      <c r="AN133" s="22">
        <v>100</v>
      </c>
      <c r="AO133" s="22">
        <v>102</v>
      </c>
      <c r="AP133" s="23">
        <v>81</v>
      </c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  <c r="CD133" s="24"/>
      <c r="CE133" s="24"/>
      <c r="CF133" s="24"/>
      <c r="CG133" s="24"/>
      <c r="CH133" s="24"/>
      <c r="CI133" s="24"/>
      <c r="CJ133" s="24"/>
      <c r="CK133" s="24"/>
      <c r="CL133" s="24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  <c r="DB133" s="24"/>
      <c r="DC133" s="24"/>
      <c r="DD133" s="24"/>
      <c r="DE133" s="24"/>
      <c r="DF133" s="24"/>
      <c r="DG133" s="24"/>
      <c r="DH133" s="24"/>
      <c r="DI133" s="24"/>
      <c r="DJ133" s="24"/>
      <c r="DK133" s="24"/>
      <c r="DL133" s="24"/>
      <c r="DM133" s="24"/>
      <c r="DN133" s="24"/>
      <c r="DO133" s="24"/>
      <c r="DP133" s="24"/>
      <c r="DQ133" s="24"/>
      <c r="DR133" s="24"/>
      <c r="DS133" s="24"/>
      <c r="DT133" s="24"/>
      <c r="DU133" s="24"/>
      <c r="DV133" s="24"/>
      <c r="DW133" s="24"/>
      <c r="DX133" s="24"/>
      <c r="DY133" s="24"/>
      <c r="DZ133" s="24"/>
      <c r="EA133" s="24"/>
      <c r="EB133" s="24"/>
      <c r="EC133" s="24"/>
      <c r="ED133" s="24"/>
      <c r="EE133" s="24"/>
      <c r="EF133" s="24"/>
      <c r="EG133" s="24"/>
      <c r="EH133" s="24"/>
      <c r="EI133" s="24"/>
      <c r="EJ133" s="24"/>
      <c r="EK133" s="24"/>
      <c r="EL133" s="24"/>
      <c r="EM133" s="24"/>
      <c r="EN133" s="24"/>
      <c r="EO133" s="24"/>
      <c r="EP133" s="24"/>
      <c r="EQ133" s="24"/>
      <c r="ER133" s="24"/>
      <c r="ES133" s="24"/>
      <c r="ET133" s="24"/>
      <c r="EU133" s="24"/>
      <c r="EV133" s="24"/>
      <c r="EW133" s="24"/>
      <c r="EX133" s="24"/>
      <c r="EY133" s="24"/>
      <c r="EZ133" s="24"/>
    </row>
    <row r="134" spans="1:156">
      <c r="AA134" s="24"/>
      <c r="AB134" s="31">
        <v>88</v>
      </c>
      <c r="AC134" s="22">
        <v>114</v>
      </c>
      <c r="AD134" s="22">
        <v>110</v>
      </c>
      <c r="AE134" s="22">
        <v>106</v>
      </c>
      <c r="AF134" s="22">
        <v>102</v>
      </c>
      <c r="AG134" s="22">
        <v>101</v>
      </c>
      <c r="AH134" s="22">
        <v>98</v>
      </c>
      <c r="AI134" s="22">
        <v>95</v>
      </c>
      <c r="AJ134" s="22">
        <v>95</v>
      </c>
      <c r="AK134" s="22">
        <v>96</v>
      </c>
      <c r="AL134" s="22">
        <v>96</v>
      </c>
      <c r="AM134" s="22">
        <v>98</v>
      </c>
      <c r="AN134" s="22">
        <v>100</v>
      </c>
      <c r="AO134" s="22">
        <v>102</v>
      </c>
      <c r="AP134" s="22">
        <v>82</v>
      </c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/>
      <c r="CC134" s="24"/>
      <c r="CD134" s="24"/>
      <c r="CE134" s="24"/>
      <c r="CF134" s="24"/>
      <c r="CG134" s="24"/>
      <c r="CH134" s="24"/>
      <c r="CI134" s="24"/>
      <c r="CJ134" s="24"/>
      <c r="CK134" s="24"/>
      <c r="CL134" s="24"/>
      <c r="CM134" s="24"/>
      <c r="CN134" s="24"/>
      <c r="CO134" s="24"/>
      <c r="CP134" s="24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  <c r="DA134" s="24"/>
      <c r="DB134" s="24"/>
      <c r="DC134" s="24"/>
      <c r="DD134" s="24"/>
      <c r="DE134" s="24"/>
      <c r="DF134" s="24"/>
      <c r="DG134" s="24"/>
      <c r="DH134" s="24"/>
      <c r="DI134" s="24"/>
      <c r="DJ134" s="24"/>
      <c r="DK134" s="24"/>
      <c r="DL134" s="24"/>
      <c r="DM134" s="24"/>
      <c r="DN134" s="24"/>
      <c r="DO134" s="24"/>
      <c r="DP134" s="24"/>
      <c r="DQ134" s="24"/>
      <c r="DR134" s="24"/>
      <c r="DS134" s="24"/>
      <c r="DT134" s="24"/>
      <c r="DU134" s="24"/>
      <c r="DV134" s="24"/>
      <c r="DW134" s="24"/>
      <c r="DX134" s="24"/>
      <c r="DY134" s="24"/>
      <c r="DZ134" s="24"/>
      <c r="EA134" s="24"/>
      <c r="EB134" s="24"/>
      <c r="EC134" s="24"/>
      <c r="ED134" s="24"/>
      <c r="EE134" s="24"/>
      <c r="EF134" s="24"/>
      <c r="EG134" s="24"/>
      <c r="EH134" s="24"/>
      <c r="EI134" s="24"/>
      <c r="EJ134" s="24"/>
      <c r="EK134" s="24"/>
      <c r="EL134" s="24"/>
      <c r="EM134" s="24"/>
      <c r="EN134" s="24"/>
      <c r="EO134" s="24"/>
      <c r="EP134" s="24"/>
      <c r="EQ134" s="24"/>
      <c r="ER134" s="24"/>
      <c r="ES134" s="24"/>
      <c r="ET134" s="24"/>
      <c r="EU134" s="24"/>
      <c r="EV134" s="24"/>
      <c r="EW134" s="24"/>
      <c r="EX134" s="24"/>
      <c r="EY134" s="24"/>
      <c r="EZ134" s="24"/>
    </row>
    <row r="135" spans="1:156">
      <c r="AA135" s="24"/>
      <c r="AB135" s="31">
        <v>89</v>
      </c>
      <c r="AC135" s="22">
        <v>114</v>
      </c>
      <c r="AD135" s="22">
        <v>110</v>
      </c>
      <c r="AE135" s="22">
        <v>106</v>
      </c>
      <c r="AF135" s="22">
        <v>102</v>
      </c>
      <c r="AG135" s="22">
        <v>101</v>
      </c>
      <c r="AH135" s="22">
        <v>98</v>
      </c>
      <c r="AI135" s="22">
        <v>95</v>
      </c>
      <c r="AJ135" s="22">
        <v>95</v>
      </c>
      <c r="AK135" s="22">
        <v>96</v>
      </c>
      <c r="AL135" s="22">
        <v>96</v>
      </c>
      <c r="AM135" s="22">
        <v>98</v>
      </c>
      <c r="AN135" s="22">
        <v>100</v>
      </c>
      <c r="AO135" s="22">
        <v>102</v>
      </c>
      <c r="AP135" s="23">
        <v>84</v>
      </c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B135" s="24"/>
      <c r="CC135" s="24"/>
      <c r="CD135" s="24"/>
      <c r="CE135" s="24"/>
      <c r="CF135" s="24"/>
      <c r="CG135" s="24"/>
      <c r="CH135" s="24"/>
      <c r="CI135" s="24"/>
      <c r="CJ135" s="24"/>
      <c r="CK135" s="24"/>
      <c r="CL135" s="24"/>
      <c r="CM135" s="24"/>
      <c r="CN135" s="24"/>
      <c r="CO135" s="24"/>
      <c r="CP135" s="24"/>
      <c r="CQ135" s="24"/>
      <c r="CR135" s="24"/>
      <c r="CS135" s="24"/>
      <c r="CT135" s="24"/>
      <c r="CU135" s="24"/>
      <c r="CV135" s="24"/>
      <c r="CW135" s="24"/>
      <c r="CX135" s="24"/>
      <c r="CY135" s="24"/>
      <c r="CZ135" s="24"/>
      <c r="DA135" s="24"/>
      <c r="DB135" s="24"/>
      <c r="DC135" s="24"/>
      <c r="DD135" s="24"/>
      <c r="DE135" s="24"/>
      <c r="DF135" s="24"/>
      <c r="DG135" s="24"/>
      <c r="DH135" s="24"/>
      <c r="DI135" s="24"/>
      <c r="DJ135" s="24"/>
      <c r="DK135" s="24"/>
      <c r="DL135" s="24"/>
      <c r="DM135" s="24"/>
      <c r="DN135" s="24"/>
      <c r="DO135" s="24"/>
      <c r="DP135" s="24"/>
      <c r="DQ135" s="24"/>
      <c r="DR135" s="24"/>
      <c r="DS135" s="24"/>
      <c r="DT135" s="24"/>
      <c r="DU135" s="24"/>
      <c r="DV135" s="24"/>
      <c r="DW135" s="24"/>
      <c r="DX135" s="24"/>
      <c r="DY135" s="24"/>
      <c r="DZ135" s="24"/>
      <c r="EA135" s="24"/>
      <c r="EB135" s="24"/>
      <c r="EC135" s="24"/>
      <c r="ED135" s="24"/>
      <c r="EE135" s="24"/>
      <c r="EF135" s="24"/>
      <c r="EG135" s="24"/>
      <c r="EH135" s="24"/>
      <c r="EI135" s="24"/>
      <c r="EJ135" s="24"/>
      <c r="EK135" s="24"/>
      <c r="EL135" s="24"/>
      <c r="EM135" s="24"/>
      <c r="EN135" s="24"/>
      <c r="EO135" s="24"/>
      <c r="EP135" s="24"/>
      <c r="EQ135" s="24"/>
      <c r="ER135" s="24"/>
      <c r="ES135" s="24"/>
      <c r="ET135" s="24"/>
      <c r="EU135" s="24"/>
      <c r="EV135" s="24"/>
      <c r="EW135" s="24"/>
      <c r="EX135" s="24"/>
      <c r="EY135" s="24"/>
      <c r="EZ135" s="24"/>
    </row>
    <row r="136" spans="1:156">
      <c r="AA136" s="24"/>
      <c r="AB136" s="31">
        <v>90</v>
      </c>
      <c r="AC136" s="22">
        <v>114</v>
      </c>
      <c r="AD136" s="22">
        <v>110</v>
      </c>
      <c r="AE136" s="22">
        <v>106</v>
      </c>
      <c r="AF136" s="22">
        <v>102</v>
      </c>
      <c r="AG136" s="22">
        <v>101</v>
      </c>
      <c r="AH136" s="22">
        <v>98</v>
      </c>
      <c r="AI136" s="22">
        <v>95</v>
      </c>
      <c r="AJ136" s="22">
        <v>95</v>
      </c>
      <c r="AK136" s="22">
        <v>96</v>
      </c>
      <c r="AL136" s="22">
        <v>96</v>
      </c>
      <c r="AM136" s="22">
        <v>98</v>
      </c>
      <c r="AN136" s="22">
        <v>100</v>
      </c>
      <c r="AO136" s="22">
        <v>102</v>
      </c>
      <c r="AP136" s="22">
        <v>85</v>
      </c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  <c r="DH136" s="24"/>
      <c r="DI136" s="24"/>
      <c r="DJ136" s="24"/>
      <c r="DK136" s="24"/>
      <c r="DL136" s="24"/>
      <c r="DM136" s="24"/>
      <c r="DN136" s="24"/>
      <c r="DO136" s="24"/>
      <c r="DP136" s="24"/>
      <c r="DQ136" s="24"/>
      <c r="DR136" s="24"/>
      <c r="DS136" s="24"/>
      <c r="DT136" s="24"/>
      <c r="DU136" s="24"/>
      <c r="DV136" s="24"/>
      <c r="DW136" s="24"/>
      <c r="DX136" s="24"/>
      <c r="DY136" s="24"/>
      <c r="DZ136" s="24"/>
      <c r="EA136" s="24"/>
      <c r="EB136" s="24"/>
      <c r="EC136" s="24"/>
      <c r="ED136" s="24"/>
      <c r="EE136" s="24"/>
      <c r="EF136" s="24"/>
      <c r="EG136" s="24"/>
      <c r="EH136" s="24"/>
      <c r="EI136" s="24"/>
      <c r="EJ136" s="24"/>
      <c r="EK136" s="24"/>
      <c r="EL136" s="24"/>
      <c r="EM136" s="24"/>
      <c r="EN136" s="24"/>
      <c r="EO136" s="24"/>
      <c r="EP136" s="24"/>
      <c r="EQ136" s="24"/>
      <c r="ER136" s="24"/>
      <c r="ES136" s="24"/>
      <c r="ET136" s="24"/>
      <c r="EU136" s="24"/>
      <c r="EV136" s="24"/>
      <c r="EW136" s="24"/>
      <c r="EX136" s="24"/>
      <c r="EY136" s="24"/>
      <c r="EZ136" s="24"/>
    </row>
    <row r="137" spans="1:156">
      <c r="AA137" s="24"/>
      <c r="AB137" s="31">
        <v>91</v>
      </c>
      <c r="AC137" s="22">
        <v>119</v>
      </c>
      <c r="AD137" s="22">
        <v>116</v>
      </c>
      <c r="AE137" s="22">
        <v>111</v>
      </c>
      <c r="AF137" s="22">
        <v>107</v>
      </c>
      <c r="AG137" s="22">
        <v>105</v>
      </c>
      <c r="AH137" s="22">
        <v>102</v>
      </c>
      <c r="AI137" s="22">
        <v>99</v>
      </c>
      <c r="AJ137" s="22">
        <v>99</v>
      </c>
      <c r="AK137" s="22">
        <v>100</v>
      </c>
      <c r="AL137" s="22">
        <v>100</v>
      </c>
      <c r="AM137" s="22">
        <v>102</v>
      </c>
      <c r="AN137" s="22">
        <v>103</v>
      </c>
      <c r="AO137" s="22">
        <v>105</v>
      </c>
      <c r="AP137" s="23">
        <v>87</v>
      </c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  <c r="CD137" s="24"/>
      <c r="CE137" s="24"/>
      <c r="CF137" s="24"/>
      <c r="CG137" s="24"/>
      <c r="CH137" s="24"/>
      <c r="CI137" s="24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  <c r="DB137" s="24"/>
      <c r="DC137" s="24"/>
      <c r="DD137" s="24"/>
      <c r="DE137" s="24"/>
      <c r="DF137" s="24"/>
      <c r="DG137" s="24"/>
      <c r="DH137" s="24"/>
      <c r="DI137" s="24"/>
      <c r="DJ137" s="24"/>
      <c r="DK137" s="24"/>
      <c r="DL137" s="24"/>
      <c r="DM137" s="24"/>
      <c r="DN137" s="24"/>
      <c r="DO137" s="24"/>
      <c r="DP137" s="24"/>
      <c r="DQ137" s="24"/>
      <c r="DR137" s="24"/>
      <c r="DS137" s="24"/>
      <c r="DT137" s="24"/>
      <c r="DU137" s="24"/>
      <c r="DV137" s="24"/>
      <c r="DW137" s="24"/>
      <c r="DX137" s="24"/>
      <c r="DY137" s="24"/>
      <c r="DZ137" s="24"/>
      <c r="EA137" s="24"/>
      <c r="EB137" s="24"/>
      <c r="EC137" s="24"/>
      <c r="ED137" s="24"/>
      <c r="EE137" s="24"/>
      <c r="EF137" s="24"/>
      <c r="EG137" s="24"/>
      <c r="EH137" s="24"/>
      <c r="EI137" s="24"/>
      <c r="EJ137" s="24"/>
      <c r="EK137" s="24"/>
      <c r="EL137" s="24"/>
      <c r="EM137" s="24"/>
      <c r="EN137" s="24"/>
      <c r="EO137" s="24"/>
      <c r="EP137" s="24"/>
      <c r="EQ137" s="24"/>
      <c r="ER137" s="24"/>
      <c r="ES137" s="24"/>
      <c r="ET137" s="24"/>
      <c r="EU137" s="24"/>
      <c r="EV137" s="24"/>
      <c r="EW137" s="24"/>
      <c r="EX137" s="24"/>
      <c r="EY137" s="24"/>
      <c r="EZ137" s="24"/>
    </row>
    <row r="138" spans="1:156">
      <c r="AA138" s="24"/>
      <c r="AB138" s="31">
        <v>92</v>
      </c>
      <c r="AC138" s="22">
        <v>119</v>
      </c>
      <c r="AD138" s="22">
        <v>116</v>
      </c>
      <c r="AE138" s="22">
        <v>111</v>
      </c>
      <c r="AF138" s="22">
        <v>107</v>
      </c>
      <c r="AG138" s="22">
        <v>105</v>
      </c>
      <c r="AH138" s="22">
        <v>102</v>
      </c>
      <c r="AI138" s="22">
        <v>99</v>
      </c>
      <c r="AJ138" s="22">
        <v>99</v>
      </c>
      <c r="AK138" s="22">
        <v>100</v>
      </c>
      <c r="AL138" s="22">
        <v>100</v>
      </c>
      <c r="AM138" s="22">
        <v>102</v>
      </c>
      <c r="AN138" s="22">
        <v>103</v>
      </c>
      <c r="AO138" s="22">
        <v>105</v>
      </c>
      <c r="AP138" s="22">
        <v>88</v>
      </c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4"/>
      <c r="CA138" s="24"/>
      <c r="CB138" s="24"/>
      <c r="CC138" s="24"/>
      <c r="CD138" s="24"/>
      <c r="CE138" s="24"/>
      <c r="CF138" s="24"/>
      <c r="CG138" s="24"/>
      <c r="CH138" s="24"/>
      <c r="CI138" s="24"/>
      <c r="CJ138" s="24"/>
      <c r="CK138" s="24"/>
      <c r="CL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  <c r="DC138" s="24"/>
      <c r="DD138" s="24"/>
      <c r="DE138" s="24"/>
      <c r="DF138" s="24"/>
      <c r="DG138" s="24"/>
      <c r="DH138" s="24"/>
      <c r="DI138" s="24"/>
      <c r="DJ138" s="24"/>
      <c r="DK138" s="24"/>
      <c r="DL138" s="24"/>
      <c r="DM138" s="24"/>
      <c r="DN138" s="24"/>
      <c r="DO138" s="24"/>
      <c r="DP138" s="24"/>
      <c r="DQ138" s="24"/>
      <c r="DR138" s="24"/>
      <c r="DS138" s="24"/>
      <c r="DT138" s="24"/>
      <c r="DU138" s="24"/>
      <c r="DV138" s="24"/>
      <c r="DW138" s="24"/>
      <c r="DX138" s="24"/>
      <c r="DY138" s="24"/>
      <c r="DZ138" s="24"/>
      <c r="EA138" s="24"/>
      <c r="EB138" s="24"/>
      <c r="EC138" s="24"/>
      <c r="ED138" s="24"/>
      <c r="EE138" s="24"/>
      <c r="EF138" s="24"/>
      <c r="EG138" s="24"/>
      <c r="EH138" s="24"/>
      <c r="EI138" s="24"/>
      <c r="EJ138" s="24"/>
      <c r="EK138" s="24"/>
      <c r="EL138" s="24"/>
      <c r="EM138" s="24"/>
      <c r="EN138" s="24"/>
      <c r="EO138" s="24"/>
      <c r="EP138" s="24"/>
      <c r="EQ138" s="24"/>
      <c r="ER138" s="24"/>
      <c r="ES138" s="24"/>
      <c r="ET138" s="24"/>
      <c r="EU138" s="24"/>
      <c r="EV138" s="24"/>
      <c r="EW138" s="24"/>
      <c r="EX138" s="24"/>
      <c r="EY138" s="24"/>
      <c r="EZ138" s="24"/>
    </row>
    <row r="139" spans="1:156">
      <c r="AA139" s="24"/>
      <c r="AB139" s="31">
        <v>93</v>
      </c>
      <c r="AC139" s="22">
        <v>119</v>
      </c>
      <c r="AD139" s="22">
        <v>116</v>
      </c>
      <c r="AE139" s="22">
        <v>111</v>
      </c>
      <c r="AF139" s="22">
        <v>107</v>
      </c>
      <c r="AG139" s="22">
        <v>105</v>
      </c>
      <c r="AH139" s="22">
        <v>102</v>
      </c>
      <c r="AI139" s="22">
        <v>99</v>
      </c>
      <c r="AJ139" s="22">
        <v>99</v>
      </c>
      <c r="AK139" s="22">
        <v>100</v>
      </c>
      <c r="AL139" s="22">
        <v>100</v>
      </c>
      <c r="AM139" s="22">
        <v>102</v>
      </c>
      <c r="AN139" s="22">
        <v>103</v>
      </c>
      <c r="AO139" s="22">
        <v>105</v>
      </c>
      <c r="AP139" s="23">
        <v>90</v>
      </c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B139" s="24"/>
      <c r="CC139" s="24"/>
      <c r="CD139" s="24"/>
      <c r="CE139" s="24"/>
      <c r="CF139" s="24"/>
      <c r="CG139" s="24"/>
      <c r="CH139" s="24"/>
      <c r="CI139" s="24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C139" s="24"/>
      <c r="DD139" s="24"/>
      <c r="DE139" s="24"/>
      <c r="DF139" s="24"/>
      <c r="DG139" s="24"/>
      <c r="DH139" s="24"/>
      <c r="DI139" s="24"/>
      <c r="DJ139" s="24"/>
      <c r="DK139" s="24"/>
      <c r="DL139" s="24"/>
      <c r="DM139" s="24"/>
      <c r="DN139" s="24"/>
      <c r="DO139" s="24"/>
      <c r="DP139" s="24"/>
      <c r="DQ139" s="24"/>
      <c r="DR139" s="24"/>
      <c r="DS139" s="24"/>
      <c r="DT139" s="24"/>
      <c r="DU139" s="24"/>
      <c r="DV139" s="24"/>
      <c r="DW139" s="24"/>
      <c r="DX139" s="24"/>
      <c r="DY139" s="24"/>
      <c r="DZ139" s="24"/>
      <c r="EA139" s="24"/>
      <c r="EB139" s="24"/>
      <c r="EC139" s="24"/>
      <c r="ED139" s="24"/>
      <c r="EE139" s="24"/>
      <c r="EF139" s="24"/>
      <c r="EG139" s="24"/>
      <c r="EH139" s="24"/>
      <c r="EI139" s="24"/>
      <c r="EJ139" s="24"/>
      <c r="EK139" s="24"/>
      <c r="EL139" s="24"/>
      <c r="EM139" s="24"/>
      <c r="EN139" s="24"/>
      <c r="EO139" s="24"/>
      <c r="EP139" s="24"/>
      <c r="EQ139" s="24"/>
      <c r="ER139" s="24"/>
      <c r="ES139" s="24"/>
      <c r="ET139" s="24"/>
      <c r="EU139" s="24"/>
      <c r="EV139" s="24"/>
      <c r="EW139" s="24"/>
      <c r="EX139" s="24"/>
      <c r="EY139" s="24"/>
      <c r="EZ139" s="24"/>
    </row>
    <row r="140" spans="1:156">
      <c r="AA140" s="24"/>
      <c r="AB140" s="31">
        <v>94</v>
      </c>
      <c r="AC140" s="22">
        <v>119</v>
      </c>
      <c r="AD140" s="22">
        <v>116</v>
      </c>
      <c r="AE140" s="22">
        <v>111</v>
      </c>
      <c r="AF140" s="22">
        <v>107</v>
      </c>
      <c r="AG140" s="22">
        <v>105</v>
      </c>
      <c r="AH140" s="22">
        <v>102</v>
      </c>
      <c r="AI140" s="22">
        <v>99</v>
      </c>
      <c r="AJ140" s="22">
        <v>99</v>
      </c>
      <c r="AK140" s="22">
        <v>100</v>
      </c>
      <c r="AL140" s="22">
        <v>100</v>
      </c>
      <c r="AM140" s="22">
        <v>102</v>
      </c>
      <c r="AN140" s="22">
        <v>103</v>
      </c>
      <c r="AO140" s="22">
        <v>105</v>
      </c>
      <c r="AP140" s="22">
        <v>91</v>
      </c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4"/>
      <c r="CA140" s="24"/>
      <c r="CB140" s="24"/>
      <c r="CC140" s="24"/>
      <c r="CD140" s="24"/>
      <c r="CE140" s="24"/>
      <c r="CF140" s="24"/>
      <c r="CG140" s="24"/>
      <c r="CH140" s="24"/>
      <c r="CI140" s="24"/>
      <c r="CJ140" s="24"/>
      <c r="CK140" s="24"/>
      <c r="CL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24"/>
      <c r="DB140" s="24"/>
      <c r="DC140" s="24"/>
      <c r="DD140" s="24"/>
      <c r="DE140" s="24"/>
      <c r="DF140" s="24"/>
      <c r="DG140" s="24"/>
      <c r="DH140" s="24"/>
      <c r="DI140" s="24"/>
      <c r="DJ140" s="24"/>
      <c r="DK140" s="24"/>
      <c r="DL140" s="24"/>
      <c r="DM140" s="24"/>
      <c r="DN140" s="24"/>
      <c r="DO140" s="24"/>
      <c r="DP140" s="24"/>
      <c r="DQ140" s="24"/>
      <c r="DR140" s="24"/>
      <c r="DS140" s="24"/>
      <c r="DT140" s="24"/>
      <c r="DU140" s="24"/>
      <c r="DV140" s="24"/>
      <c r="DW140" s="24"/>
      <c r="DX140" s="24"/>
      <c r="DY140" s="24"/>
      <c r="DZ140" s="24"/>
      <c r="EA140" s="24"/>
      <c r="EB140" s="24"/>
      <c r="EC140" s="24"/>
      <c r="ED140" s="24"/>
      <c r="EE140" s="24"/>
      <c r="EF140" s="24"/>
      <c r="EG140" s="24"/>
      <c r="EH140" s="24"/>
      <c r="EI140" s="24"/>
      <c r="EJ140" s="24"/>
      <c r="EK140" s="24"/>
      <c r="EL140" s="24"/>
      <c r="EM140" s="24"/>
      <c r="EN140" s="24"/>
      <c r="EO140" s="24"/>
      <c r="EP140" s="24"/>
      <c r="EQ140" s="24"/>
      <c r="ER140" s="24"/>
      <c r="ES140" s="24"/>
      <c r="ET140" s="24"/>
      <c r="EU140" s="24"/>
      <c r="EV140" s="24"/>
      <c r="EW140" s="24"/>
      <c r="EX140" s="24"/>
      <c r="EY140" s="24"/>
      <c r="EZ140" s="24"/>
    </row>
    <row r="141" spans="1:156">
      <c r="AA141" s="24"/>
      <c r="AB141" s="31">
        <v>95</v>
      </c>
      <c r="AC141" s="22">
        <v>119</v>
      </c>
      <c r="AD141" s="22">
        <v>116</v>
      </c>
      <c r="AE141" s="22">
        <v>111</v>
      </c>
      <c r="AF141" s="22">
        <v>107</v>
      </c>
      <c r="AG141" s="22">
        <v>105</v>
      </c>
      <c r="AH141" s="22">
        <v>102</v>
      </c>
      <c r="AI141" s="22">
        <v>99</v>
      </c>
      <c r="AJ141" s="22">
        <v>99</v>
      </c>
      <c r="AK141" s="22">
        <v>100</v>
      </c>
      <c r="AL141" s="22">
        <v>100</v>
      </c>
      <c r="AM141" s="22">
        <v>102</v>
      </c>
      <c r="AN141" s="22">
        <v>103</v>
      </c>
      <c r="AO141" s="22">
        <v>105</v>
      </c>
      <c r="AP141" s="23">
        <v>93</v>
      </c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4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C141" s="24"/>
      <c r="DD141" s="24"/>
      <c r="DE141" s="24"/>
      <c r="DF141" s="24"/>
      <c r="DG141" s="24"/>
      <c r="DH141" s="24"/>
      <c r="DI141" s="24"/>
      <c r="DJ141" s="24"/>
      <c r="DK141" s="24"/>
      <c r="DL141" s="24"/>
      <c r="DM141" s="24"/>
      <c r="DN141" s="24"/>
      <c r="DO141" s="24"/>
      <c r="DP141" s="24"/>
      <c r="DQ141" s="24"/>
      <c r="DR141" s="24"/>
      <c r="DS141" s="24"/>
      <c r="DT141" s="24"/>
      <c r="DU141" s="24"/>
      <c r="DV141" s="24"/>
      <c r="DW141" s="24"/>
      <c r="DX141" s="24"/>
      <c r="DY141" s="24"/>
      <c r="DZ141" s="24"/>
      <c r="EA141" s="24"/>
      <c r="EB141" s="24"/>
      <c r="EC141" s="24"/>
      <c r="ED141" s="24"/>
      <c r="EE141" s="24"/>
      <c r="EF141" s="24"/>
      <c r="EG141" s="24"/>
      <c r="EH141" s="24"/>
      <c r="EI141" s="24"/>
      <c r="EJ141" s="24"/>
      <c r="EK141" s="24"/>
      <c r="EL141" s="24"/>
      <c r="EM141" s="24"/>
      <c r="EN141" s="24"/>
      <c r="EO141" s="24"/>
      <c r="EP141" s="24"/>
      <c r="EQ141" s="24"/>
      <c r="ER141" s="24"/>
      <c r="ES141" s="24"/>
      <c r="ET141" s="24"/>
      <c r="EU141" s="24"/>
      <c r="EV141" s="24"/>
      <c r="EW141" s="24"/>
      <c r="EX141" s="24"/>
      <c r="EY141" s="24"/>
      <c r="EZ141" s="24"/>
    </row>
    <row r="142" spans="1:156">
      <c r="AA142" s="24"/>
      <c r="AB142" s="31">
        <v>96</v>
      </c>
      <c r="AC142" s="22">
        <v>119</v>
      </c>
      <c r="AD142" s="22">
        <v>116</v>
      </c>
      <c r="AE142" s="22">
        <v>111</v>
      </c>
      <c r="AF142" s="22">
        <v>107</v>
      </c>
      <c r="AG142" s="22">
        <v>105</v>
      </c>
      <c r="AH142" s="22">
        <v>102</v>
      </c>
      <c r="AI142" s="22">
        <v>99</v>
      </c>
      <c r="AJ142" s="22">
        <v>99</v>
      </c>
      <c r="AK142" s="22">
        <v>100</v>
      </c>
      <c r="AL142" s="22">
        <v>100</v>
      </c>
      <c r="AM142" s="22">
        <v>102</v>
      </c>
      <c r="AN142" s="22">
        <v>103</v>
      </c>
      <c r="AO142" s="22">
        <v>105</v>
      </c>
      <c r="AP142" s="22">
        <v>94</v>
      </c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4"/>
      <c r="CJ142" s="24"/>
      <c r="CK142" s="24"/>
      <c r="CL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C142" s="24"/>
      <c r="DD142" s="24"/>
      <c r="DE142" s="24"/>
      <c r="DF142" s="24"/>
      <c r="DG142" s="24"/>
      <c r="DH142" s="24"/>
      <c r="DI142" s="24"/>
      <c r="DJ142" s="24"/>
      <c r="DK142" s="24"/>
      <c r="DL142" s="24"/>
      <c r="DM142" s="24"/>
      <c r="DN142" s="24"/>
      <c r="DO142" s="24"/>
      <c r="DP142" s="24"/>
      <c r="DQ142" s="24"/>
      <c r="DR142" s="24"/>
      <c r="DS142" s="24"/>
      <c r="DT142" s="24"/>
      <c r="DU142" s="24"/>
      <c r="DV142" s="24"/>
      <c r="DW142" s="24"/>
      <c r="DX142" s="24"/>
      <c r="DY142" s="24"/>
      <c r="DZ142" s="24"/>
      <c r="EA142" s="24"/>
      <c r="EB142" s="24"/>
      <c r="EC142" s="24"/>
      <c r="ED142" s="24"/>
      <c r="EE142" s="24"/>
      <c r="EF142" s="24"/>
      <c r="EG142" s="24"/>
      <c r="EH142" s="24"/>
      <c r="EI142" s="24"/>
      <c r="EJ142" s="24"/>
      <c r="EK142" s="24"/>
      <c r="EL142" s="24"/>
      <c r="EM142" s="24"/>
      <c r="EN142" s="24"/>
      <c r="EO142" s="24"/>
      <c r="EP142" s="24"/>
      <c r="EQ142" s="24"/>
      <c r="ER142" s="24"/>
      <c r="ES142" s="24"/>
      <c r="ET142" s="24"/>
      <c r="EU142" s="24"/>
      <c r="EV142" s="24"/>
      <c r="EW142" s="24"/>
      <c r="EX142" s="24"/>
      <c r="EY142" s="24"/>
      <c r="EZ142" s="24"/>
    </row>
    <row r="143" spans="1:156">
      <c r="AA143" s="24"/>
      <c r="AB143" s="31">
        <v>97</v>
      </c>
      <c r="AC143" s="22">
        <v>119</v>
      </c>
      <c r="AD143" s="22">
        <v>116</v>
      </c>
      <c r="AE143" s="22">
        <v>111</v>
      </c>
      <c r="AF143" s="22">
        <v>107</v>
      </c>
      <c r="AG143" s="22">
        <v>105</v>
      </c>
      <c r="AH143" s="22">
        <v>102</v>
      </c>
      <c r="AI143" s="22">
        <v>99</v>
      </c>
      <c r="AJ143" s="22">
        <v>99</v>
      </c>
      <c r="AK143" s="22">
        <v>100</v>
      </c>
      <c r="AL143" s="22">
        <v>100</v>
      </c>
      <c r="AM143" s="22">
        <v>102</v>
      </c>
      <c r="AN143" s="22">
        <v>103</v>
      </c>
      <c r="AO143" s="22">
        <v>105</v>
      </c>
      <c r="AP143" s="23">
        <v>96</v>
      </c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  <c r="DJ143" s="24"/>
      <c r="DK143" s="24"/>
      <c r="DL143" s="24"/>
      <c r="DM143" s="24"/>
      <c r="DN143" s="24"/>
      <c r="DO143" s="24"/>
      <c r="DP143" s="24"/>
      <c r="DQ143" s="24"/>
      <c r="DR143" s="24"/>
      <c r="DS143" s="24"/>
      <c r="DT143" s="24"/>
      <c r="DU143" s="24"/>
      <c r="DV143" s="24"/>
      <c r="DW143" s="24"/>
      <c r="DX143" s="24"/>
      <c r="DY143" s="24"/>
      <c r="DZ143" s="24"/>
      <c r="EA143" s="24"/>
      <c r="EB143" s="24"/>
      <c r="EC143" s="24"/>
      <c r="ED143" s="24"/>
      <c r="EE143" s="24"/>
      <c r="EF143" s="24"/>
      <c r="EG143" s="24"/>
      <c r="EH143" s="24"/>
      <c r="EI143" s="24"/>
      <c r="EJ143" s="24"/>
      <c r="EK143" s="24"/>
      <c r="EL143" s="24"/>
      <c r="EM143" s="24"/>
      <c r="EN143" s="24"/>
      <c r="EO143" s="24"/>
      <c r="EP143" s="24"/>
      <c r="EQ143" s="24"/>
      <c r="ER143" s="24"/>
      <c r="ES143" s="24"/>
      <c r="ET143" s="24"/>
      <c r="EU143" s="24"/>
      <c r="EV143" s="24"/>
      <c r="EW143" s="24"/>
      <c r="EX143" s="24"/>
      <c r="EY143" s="24"/>
      <c r="EZ143" s="24"/>
    </row>
    <row r="144" spans="1:156">
      <c r="AA144" s="24"/>
      <c r="AB144" s="31">
        <v>98</v>
      </c>
      <c r="AC144" s="22">
        <v>119</v>
      </c>
      <c r="AD144" s="22">
        <v>116</v>
      </c>
      <c r="AE144" s="22">
        <v>111</v>
      </c>
      <c r="AF144" s="22">
        <v>107</v>
      </c>
      <c r="AG144" s="22">
        <v>105</v>
      </c>
      <c r="AH144" s="22">
        <v>102</v>
      </c>
      <c r="AI144" s="22">
        <v>99</v>
      </c>
      <c r="AJ144" s="22">
        <v>99</v>
      </c>
      <c r="AK144" s="22">
        <v>100</v>
      </c>
      <c r="AL144" s="22">
        <v>100</v>
      </c>
      <c r="AM144" s="22">
        <v>102</v>
      </c>
      <c r="AN144" s="22">
        <v>103</v>
      </c>
      <c r="AO144" s="22">
        <v>105</v>
      </c>
      <c r="AP144" s="22">
        <v>97</v>
      </c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4"/>
      <c r="CF144" s="24"/>
      <c r="CG144" s="24"/>
      <c r="CH144" s="24"/>
      <c r="CI144" s="24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C144" s="24"/>
      <c r="DD144" s="24"/>
      <c r="DE144" s="24"/>
      <c r="DF144" s="24"/>
      <c r="DG144" s="24"/>
      <c r="DH144" s="24"/>
      <c r="DI144" s="24"/>
      <c r="DJ144" s="24"/>
      <c r="DK144" s="24"/>
      <c r="DL144" s="24"/>
      <c r="DM144" s="24"/>
      <c r="DN144" s="24"/>
      <c r="DO144" s="24"/>
      <c r="DP144" s="24"/>
      <c r="DQ144" s="24"/>
      <c r="DR144" s="24"/>
      <c r="DS144" s="24"/>
      <c r="DT144" s="24"/>
      <c r="DU144" s="24"/>
      <c r="DV144" s="24"/>
      <c r="DW144" s="24"/>
      <c r="DX144" s="24"/>
      <c r="DY144" s="24"/>
      <c r="DZ144" s="24"/>
      <c r="EA144" s="24"/>
      <c r="EB144" s="24"/>
      <c r="EC144" s="24"/>
      <c r="ED144" s="24"/>
      <c r="EE144" s="24"/>
      <c r="EF144" s="24"/>
      <c r="EG144" s="24"/>
      <c r="EH144" s="24"/>
      <c r="EI144" s="24"/>
      <c r="EJ144" s="24"/>
      <c r="EK144" s="24"/>
      <c r="EL144" s="24"/>
      <c r="EM144" s="24"/>
      <c r="EN144" s="24"/>
      <c r="EO144" s="24"/>
      <c r="EP144" s="24"/>
      <c r="EQ144" s="24"/>
      <c r="ER144" s="24"/>
      <c r="ES144" s="24"/>
      <c r="ET144" s="24"/>
      <c r="EU144" s="24"/>
      <c r="EV144" s="24"/>
      <c r="EW144" s="24"/>
      <c r="EX144" s="24"/>
      <c r="EY144" s="24"/>
      <c r="EZ144" s="24"/>
    </row>
    <row r="145" spans="27:156">
      <c r="AA145" s="24"/>
      <c r="AB145" s="31">
        <v>99</v>
      </c>
      <c r="AC145" s="22">
        <v>119</v>
      </c>
      <c r="AD145" s="22">
        <v>116</v>
      </c>
      <c r="AE145" s="22">
        <v>111</v>
      </c>
      <c r="AF145" s="22">
        <v>107</v>
      </c>
      <c r="AG145" s="22">
        <v>105</v>
      </c>
      <c r="AH145" s="22">
        <v>102</v>
      </c>
      <c r="AI145" s="22">
        <v>99</v>
      </c>
      <c r="AJ145" s="22">
        <v>99</v>
      </c>
      <c r="AK145" s="22">
        <v>100</v>
      </c>
      <c r="AL145" s="22">
        <v>100</v>
      </c>
      <c r="AM145" s="22">
        <v>102</v>
      </c>
      <c r="AN145" s="22">
        <v>103</v>
      </c>
      <c r="AO145" s="22">
        <v>105</v>
      </c>
      <c r="AP145" s="23">
        <v>99</v>
      </c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  <c r="CD145" s="24"/>
      <c r="CE145" s="24"/>
      <c r="CF145" s="24"/>
      <c r="CG145" s="24"/>
      <c r="CH145" s="24"/>
      <c r="CI145" s="24"/>
      <c r="CJ145" s="24"/>
      <c r="CK145" s="24"/>
      <c r="CL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/>
      <c r="CZ145" s="24"/>
      <c r="DA145" s="24"/>
      <c r="DB145" s="24"/>
      <c r="DC145" s="24"/>
      <c r="DD145" s="24"/>
      <c r="DE145" s="24"/>
      <c r="DF145" s="24"/>
      <c r="DG145" s="24"/>
      <c r="DH145" s="24"/>
      <c r="DI145" s="24"/>
      <c r="DJ145" s="24"/>
      <c r="DK145" s="24"/>
      <c r="DL145" s="24"/>
      <c r="DM145" s="24"/>
      <c r="DN145" s="24"/>
      <c r="DO145" s="24"/>
      <c r="DP145" s="24"/>
      <c r="DQ145" s="24"/>
      <c r="DR145" s="24"/>
      <c r="DS145" s="24"/>
      <c r="DT145" s="24"/>
      <c r="DU145" s="24"/>
      <c r="DV145" s="24"/>
      <c r="DW145" s="24"/>
      <c r="DX145" s="24"/>
      <c r="DY145" s="24"/>
      <c r="DZ145" s="24"/>
      <c r="EA145" s="24"/>
      <c r="EB145" s="24"/>
      <c r="EC145" s="24"/>
      <c r="ED145" s="24"/>
      <c r="EE145" s="24"/>
      <c r="EF145" s="24"/>
      <c r="EG145" s="24"/>
      <c r="EH145" s="24"/>
      <c r="EI145" s="24"/>
      <c r="EJ145" s="24"/>
      <c r="EK145" s="24"/>
      <c r="EL145" s="24"/>
      <c r="EM145" s="24"/>
      <c r="EN145" s="24"/>
      <c r="EO145" s="24"/>
      <c r="EP145" s="24"/>
      <c r="EQ145" s="24"/>
      <c r="ER145" s="24"/>
      <c r="ES145" s="24"/>
      <c r="ET145" s="24"/>
      <c r="EU145" s="24"/>
      <c r="EV145" s="24"/>
      <c r="EW145" s="24"/>
      <c r="EX145" s="24"/>
      <c r="EY145" s="24"/>
      <c r="EZ145" s="24"/>
    </row>
    <row r="146" spans="27:156">
      <c r="AA146" s="24"/>
      <c r="AB146" s="31">
        <v>100</v>
      </c>
      <c r="AC146" s="22">
        <v>119</v>
      </c>
      <c r="AD146" s="22">
        <v>116</v>
      </c>
      <c r="AE146" s="22">
        <v>111</v>
      </c>
      <c r="AF146" s="22">
        <v>107</v>
      </c>
      <c r="AG146" s="22">
        <v>105</v>
      </c>
      <c r="AH146" s="22">
        <v>102</v>
      </c>
      <c r="AI146" s="22">
        <v>99</v>
      </c>
      <c r="AJ146" s="22">
        <v>99</v>
      </c>
      <c r="AK146" s="22">
        <v>100</v>
      </c>
      <c r="AL146" s="22">
        <v>100</v>
      </c>
      <c r="AM146" s="22">
        <v>102</v>
      </c>
      <c r="AN146" s="22">
        <v>103</v>
      </c>
      <c r="AO146" s="22">
        <v>105</v>
      </c>
      <c r="AP146" s="22">
        <v>100</v>
      </c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4"/>
      <c r="CA146" s="24"/>
      <c r="CB146" s="24"/>
      <c r="CC146" s="24"/>
      <c r="CD146" s="24"/>
      <c r="CE146" s="24"/>
      <c r="CF146" s="24"/>
      <c r="CG146" s="24"/>
      <c r="CH146" s="24"/>
      <c r="CI146" s="24"/>
      <c r="CJ146" s="24"/>
      <c r="CK146" s="24"/>
      <c r="CL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  <c r="DB146" s="24"/>
      <c r="DC146" s="24"/>
      <c r="DD146" s="24"/>
      <c r="DE146" s="24"/>
      <c r="DF146" s="24"/>
      <c r="DG146" s="24"/>
      <c r="DH146" s="24"/>
      <c r="DI146" s="24"/>
      <c r="DJ146" s="24"/>
      <c r="DK146" s="24"/>
      <c r="DL146" s="24"/>
      <c r="DM146" s="24"/>
      <c r="DN146" s="24"/>
      <c r="DO146" s="24"/>
      <c r="DP146" s="24"/>
      <c r="DQ146" s="24"/>
      <c r="DR146" s="24"/>
      <c r="DS146" s="24"/>
      <c r="DT146" s="24"/>
      <c r="DU146" s="24"/>
      <c r="DV146" s="24"/>
      <c r="DW146" s="24"/>
      <c r="DX146" s="24"/>
      <c r="DY146" s="24"/>
      <c r="DZ146" s="24"/>
      <c r="EA146" s="24"/>
      <c r="EB146" s="24"/>
      <c r="EC146" s="24"/>
      <c r="ED146" s="24"/>
      <c r="EE146" s="24"/>
      <c r="EF146" s="24"/>
      <c r="EG146" s="24"/>
      <c r="EH146" s="24"/>
      <c r="EI146" s="24"/>
      <c r="EJ146" s="24"/>
      <c r="EK146" s="24"/>
      <c r="EL146" s="24"/>
      <c r="EM146" s="24"/>
      <c r="EN146" s="24"/>
      <c r="EO146" s="24"/>
      <c r="EP146" s="24"/>
      <c r="EQ146" s="24"/>
      <c r="ER146" s="24"/>
      <c r="ES146" s="24"/>
      <c r="ET146" s="24"/>
      <c r="EU146" s="24"/>
      <c r="EV146" s="24"/>
      <c r="EW146" s="24"/>
      <c r="EX146" s="24"/>
      <c r="EY146" s="24"/>
      <c r="EZ146" s="24"/>
    </row>
    <row r="147" spans="27:156">
      <c r="AA147" s="24"/>
      <c r="AB147" s="31">
        <v>101</v>
      </c>
      <c r="AC147" s="22">
        <v>126</v>
      </c>
      <c r="AD147" s="22">
        <v>122</v>
      </c>
      <c r="AE147" s="22">
        <v>116</v>
      </c>
      <c r="AF147" s="22">
        <v>112</v>
      </c>
      <c r="AG147" s="22">
        <v>109</v>
      </c>
      <c r="AH147" s="22">
        <v>106</v>
      </c>
      <c r="AI147" s="22">
        <v>103</v>
      </c>
      <c r="AJ147" s="22">
        <v>103</v>
      </c>
      <c r="AK147" s="22">
        <v>103</v>
      </c>
      <c r="AL147" s="22">
        <v>104</v>
      </c>
      <c r="AM147" s="22">
        <v>105</v>
      </c>
      <c r="AN147" s="22">
        <v>107</v>
      </c>
      <c r="AO147" s="22">
        <v>109</v>
      </c>
      <c r="AP147" s="23">
        <v>102</v>
      </c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  <c r="DF147" s="24"/>
      <c r="DG147" s="24"/>
      <c r="DH147" s="24"/>
      <c r="DI147" s="24"/>
      <c r="DJ147" s="24"/>
      <c r="DK147" s="24"/>
      <c r="DL147" s="24"/>
      <c r="DM147" s="24"/>
      <c r="DN147" s="24"/>
      <c r="DO147" s="24"/>
      <c r="DP147" s="24"/>
      <c r="DQ147" s="24"/>
      <c r="DR147" s="24"/>
      <c r="DS147" s="24"/>
      <c r="DT147" s="24"/>
      <c r="DU147" s="24"/>
      <c r="DV147" s="24"/>
      <c r="DW147" s="24"/>
      <c r="DX147" s="24"/>
      <c r="DY147" s="24"/>
      <c r="DZ147" s="24"/>
      <c r="EA147" s="24"/>
      <c r="EB147" s="24"/>
      <c r="EC147" s="24"/>
      <c r="ED147" s="24"/>
      <c r="EE147" s="24"/>
      <c r="EF147" s="24"/>
      <c r="EG147" s="24"/>
      <c r="EH147" s="24"/>
      <c r="EI147" s="24"/>
      <c r="EJ147" s="24"/>
      <c r="EK147" s="24"/>
      <c r="EL147" s="24"/>
      <c r="EM147" s="24"/>
      <c r="EN147" s="24"/>
      <c r="EO147" s="24"/>
      <c r="EP147" s="24"/>
      <c r="EQ147" s="24"/>
      <c r="ER147" s="24"/>
      <c r="ES147" s="24"/>
      <c r="ET147" s="24"/>
      <c r="EU147" s="24"/>
      <c r="EV147" s="24"/>
      <c r="EW147" s="24"/>
      <c r="EX147" s="24"/>
      <c r="EY147" s="24"/>
      <c r="EZ147" s="24"/>
    </row>
    <row r="148" spans="27:156">
      <c r="AA148" s="24"/>
      <c r="AB148" s="31">
        <v>102</v>
      </c>
      <c r="AC148" s="22">
        <v>126</v>
      </c>
      <c r="AD148" s="22">
        <v>122</v>
      </c>
      <c r="AE148" s="22">
        <v>116</v>
      </c>
      <c r="AF148" s="22">
        <v>112</v>
      </c>
      <c r="AG148" s="22">
        <v>109</v>
      </c>
      <c r="AH148" s="22">
        <v>106</v>
      </c>
      <c r="AI148" s="22">
        <v>103</v>
      </c>
      <c r="AJ148" s="22">
        <v>103</v>
      </c>
      <c r="AK148" s="22">
        <v>103</v>
      </c>
      <c r="AL148" s="22">
        <v>104</v>
      </c>
      <c r="AM148" s="22">
        <v>105</v>
      </c>
      <c r="AN148" s="22">
        <v>107</v>
      </c>
      <c r="AO148" s="22">
        <v>109</v>
      </c>
      <c r="AP148" s="22">
        <v>103</v>
      </c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  <c r="DH148" s="24"/>
      <c r="DI148" s="24"/>
      <c r="DJ148" s="24"/>
      <c r="DK148" s="24"/>
      <c r="DL148" s="24"/>
      <c r="DM148" s="24"/>
      <c r="DN148" s="24"/>
      <c r="DO148" s="24"/>
      <c r="DP148" s="24"/>
      <c r="DQ148" s="24"/>
      <c r="DR148" s="24"/>
      <c r="DS148" s="24"/>
      <c r="DT148" s="24"/>
      <c r="DU148" s="24"/>
      <c r="DV148" s="24"/>
      <c r="DW148" s="24"/>
      <c r="DX148" s="24"/>
      <c r="DY148" s="24"/>
      <c r="DZ148" s="24"/>
      <c r="EA148" s="24"/>
      <c r="EB148" s="24"/>
      <c r="EC148" s="24"/>
      <c r="ED148" s="24"/>
      <c r="EE148" s="24"/>
      <c r="EF148" s="24"/>
      <c r="EG148" s="24"/>
      <c r="EH148" s="24"/>
      <c r="EI148" s="24"/>
      <c r="EJ148" s="24"/>
      <c r="EK148" s="24"/>
      <c r="EL148" s="24"/>
      <c r="EM148" s="24"/>
      <c r="EN148" s="24"/>
      <c r="EO148" s="24"/>
      <c r="EP148" s="24"/>
      <c r="EQ148" s="24"/>
      <c r="ER148" s="24"/>
      <c r="ES148" s="24"/>
      <c r="ET148" s="24"/>
      <c r="EU148" s="24"/>
      <c r="EV148" s="24"/>
      <c r="EW148" s="24"/>
      <c r="EX148" s="24"/>
      <c r="EY148" s="24"/>
      <c r="EZ148" s="24"/>
    </row>
    <row r="149" spans="27:156">
      <c r="AA149" s="24"/>
      <c r="AB149" s="31">
        <v>103</v>
      </c>
      <c r="AC149" s="22">
        <v>126</v>
      </c>
      <c r="AD149" s="22">
        <v>122</v>
      </c>
      <c r="AE149" s="22">
        <v>116</v>
      </c>
      <c r="AF149" s="22">
        <v>112</v>
      </c>
      <c r="AG149" s="22">
        <v>109</v>
      </c>
      <c r="AH149" s="22">
        <v>106</v>
      </c>
      <c r="AI149" s="22">
        <v>103</v>
      </c>
      <c r="AJ149" s="22">
        <v>103</v>
      </c>
      <c r="AK149" s="22">
        <v>103</v>
      </c>
      <c r="AL149" s="22">
        <v>104</v>
      </c>
      <c r="AM149" s="22">
        <v>105</v>
      </c>
      <c r="AN149" s="22">
        <v>107</v>
      </c>
      <c r="AO149" s="22">
        <v>109</v>
      </c>
      <c r="AP149" s="23">
        <v>105</v>
      </c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  <c r="DH149" s="24"/>
      <c r="DI149" s="24"/>
      <c r="DJ149" s="24"/>
      <c r="DK149" s="24"/>
      <c r="DL149" s="24"/>
      <c r="DM149" s="24"/>
      <c r="DN149" s="24"/>
      <c r="DO149" s="24"/>
      <c r="DP149" s="24"/>
      <c r="DQ149" s="24"/>
      <c r="DR149" s="24"/>
      <c r="DS149" s="24"/>
      <c r="DT149" s="24"/>
      <c r="DU149" s="24"/>
      <c r="DV149" s="24"/>
      <c r="DW149" s="24"/>
      <c r="DX149" s="24"/>
      <c r="DY149" s="24"/>
      <c r="DZ149" s="24"/>
      <c r="EA149" s="24"/>
      <c r="EB149" s="24"/>
      <c r="EC149" s="24"/>
      <c r="ED149" s="24"/>
      <c r="EE149" s="24"/>
      <c r="EF149" s="24"/>
      <c r="EG149" s="24"/>
      <c r="EH149" s="24"/>
      <c r="EI149" s="24"/>
      <c r="EJ149" s="24"/>
      <c r="EK149" s="24"/>
      <c r="EL149" s="24"/>
      <c r="EM149" s="24"/>
      <c r="EN149" s="24"/>
      <c r="EO149" s="24"/>
      <c r="EP149" s="24"/>
      <c r="EQ149" s="24"/>
      <c r="ER149" s="24"/>
      <c r="ES149" s="24"/>
      <c r="ET149" s="24"/>
      <c r="EU149" s="24"/>
      <c r="EV149" s="24"/>
      <c r="EW149" s="24"/>
      <c r="EX149" s="24"/>
      <c r="EY149" s="24"/>
      <c r="EZ149" s="24"/>
    </row>
    <row r="150" spans="27:156">
      <c r="AA150" s="24"/>
      <c r="AB150" s="31">
        <v>104</v>
      </c>
      <c r="AC150" s="22">
        <v>126</v>
      </c>
      <c r="AD150" s="22">
        <v>122</v>
      </c>
      <c r="AE150" s="22">
        <v>116</v>
      </c>
      <c r="AF150" s="22">
        <v>112</v>
      </c>
      <c r="AG150" s="22">
        <v>109</v>
      </c>
      <c r="AH150" s="22">
        <v>106</v>
      </c>
      <c r="AI150" s="22">
        <v>103</v>
      </c>
      <c r="AJ150" s="22">
        <v>103</v>
      </c>
      <c r="AK150" s="22">
        <v>103</v>
      </c>
      <c r="AL150" s="22">
        <v>104</v>
      </c>
      <c r="AM150" s="22">
        <v>105</v>
      </c>
      <c r="AN150" s="22">
        <v>107</v>
      </c>
      <c r="AO150" s="22">
        <v>109</v>
      </c>
      <c r="AP150" s="22">
        <v>106</v>
      </c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/>
      <c r="DI150" s="24"/>
      <c r="DJ150" s="24"/>
      <c r="DK150" s="24"/>
      <c r="DL150" s="24"/>
      <c r="DM150" s="24"/>
      <c r="DN150" s="24"/>
      <c r="DO150" s="24"/>
      <c r="DP150" s="24"/>
      <c r="DQ150" s="24"/>
      <c r="DR150" s="24"/>
      <c r="DS150" s="24"/>
      <c r="DT150" s="24"/>
      <c r="DU150" s="24"/>
      <c r="DV150" s="24"/>
      <c r="DW150" s="24"/>
      <c r="DX150" s="24"/>
      <c r="DY150" s="24"/>
      <c r="DZ150" s="24"/>
      <c r="EA150" s="24"/>
      <c r="EB150" s="24"/>
      <c r="EC150" s="24"/>
      <c r="ED150" s="24"/>
      <c r="EE150" s="24"/>
      <c r="EF150" s="24"/>
      <c r="EG150" s="24"/>
      <c r="EH150" s="24"/>
      <c r="EI150" s="24"/>
      <c r="EJ150" s="24"/>
      <c r="EK150" s="24"/>
      <c r="EL150" s="24"/>
      <c r="EM150" s="24"/>
      <c r="EN150" s="24"/>
      <c r="EO150" s="24"/>
      <c r="EP150" s="24"/>
      <c r="EQ150" s="24"/>
      <c r="ER150" s="24"/>
      <c r="ES150" s="24"/>
      <c r="ET150" s="24"/>
      <c r="EU150" s="24"/>
      <c r="EV150" s="24"/>
      <c r="EW150" s="24"/>
      <c r="EX150" s="24"/>
      <c r="EY150" s="24"/>
      <c r="EZ150" s="24"/>
    </row>
    <row r="151" spans="27:156">
      <c r="AA151" s="24"/>
      <c r="AB151" s="31">
        <v>105</v>
      </c>
      <c r="AC151" s="22">
        <v>126</v>
      </c>
      <c r="AD151" s="22">
        <v>122</v>
      </c>
      <c r="AE151" s="22">
        <v>116</v>
      </c>
      <c r="AF151" s="22">
        <v>112</v>
      </c>
      <c r="AG151" s="22">
        <v>109</v>
      </c>
      <c r="AH151" s="22">
        <v>106</v>
      </c>
      <c r="AI151" s="22">
        <v>103</v>
      </c>
      <c r="AJ151" s="22">
        <v>103</v>
      </c>
      <c r="AK151" s="22">
        <v>103</v>
      </c>
      <c r="AL151" s="22">
        <v>104</v>
      </c>
      <c r="AM151" s="22">
        <v>105</v>
      </c>
      <c r="AN151" s="22">
        <v>107</v>
      </c>
      <c r="AO151" s="22">
        <v>109</v>
      </c>
      <c r="AP151" s="23">
        <v>108</v>
      </c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4"/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24"/>
      <c r="DF151" s="24"/>
      <c r="DG151" s="24"/>
      <c r="DH151" s="24"/>
      <c r="DI151" s="24"/>
      <c r="DJ151" s="24"/>
      <c r="DK151" s="24"/>
      <c r="DL151" s="24"/>
      <c r="DM151" s="24"/>
      <c r="DN151" s="24"/>
      <c r="DO151" s="24"/>
      <c r="DP151" s="24"/>
      <c r="DQ151" s="24"/>
      <c r="DR151" s="24"/>
      <c r="DS151" s="24"/>
      <c r="DT151" s="24"/>
      <c r="DU151" s="24"/>
      <c r="DV151" s="24"/>
      <c r="DW151" s="24"/>
      <c r="DX151" s="24"/>
      <c r="DY151" s="24"/>
      <c r="DZ151" s="24"/>
      <c r="EA151" s="24"/>
      <c r="EB151" s="24"/>
      <c r="EC151" s="24"/>
      <c r="ED151" s="24"/>
      <c r="EE151" s="24"/>
      <c r="EF151" s="24"/>
      <c r="EG151" s="24"/>
      <c r="EH151" s="24"/>
      <c r="EI151" s="24"/>
      <c r="EJ151" s="24"/>
      <c r="EK151" s="24"/>
      <c r="EL151" s="24"/>
      <c r="EM151" s="24"/>
      <c r="EN151" s="24"/>
      <c r="EO151" s="24"/>
      <c r="EP151" s="24"/>
      <c r="EQ151" s="24"/>
      <c r="ER151" s="24"/>
      <c r="ES151" s="24"/>
      <c r="ET151" s="24"/>
      <c r="EU151" s="24"/>
      <c r="EV151" s="24"/>
      <c r="EW151" s="24"/>
      <c r="EX151" s="24"/>
      <c r="EY151" s="24"/>
      <c r="EZ151" s="24"/>
    </row>
    <row r="152" spans="27:156">
      <c r="AA152" s="24"/>
      <c r="AB152" s="31">
        <v>106</v>
      </c>
      <c r="AC152" s="22">
        <v>126</v>
      </c>
      <c r="AD152" s="22">
        <v>122</v>
      </c>
      <c r="AE152" s="22">
        <v>116</v>
      </c>
      <c r="AF152" s="22">
        <v>112</v>
      </c>
      <c r="AG152" s="22">
        <v>109</v>
      </c>
      <c r="AH152" s="22">
        <v>106</v>
      </c>
      <c r="AI152" s="22">
        <v>103</v>
      </c>
      <c r="AJ152" s="22">
        <v>103</v>
      </c>
      <c r="AK152" s="22">
        <v>103</v>
      </c>
      <c r="AL152" s="22">
        <v>104</v>
      </c>
      <c r="AM152" s="22">
        <v>105</v>
      </c>
      <c r="AN152" s="22">
        <v>107</v>
      </c>
      <c r="AO152" s="22">
        <v>109</v>
      </c>
      <c r="AP152" s="22">
        <v>109</v>
      </c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  <c r="DH152" s="24"/>
      <c r="DI152" s="24"/>
      <c r="DJ152" s="24"/>
      <c r="DK152" s="24"/>
      <c r="DL152" s="24"/>
      <c r="DM152" s="24"/>
      <c r="DN152" s="24"/>
      <c r="DO152" s="24"/>
      <c r="DP152" s="24"/>
      <c r="DQ152" s="24"/>
      <c r="DR152" s="24"/>
      <c r="DS152" s="24"/>
      <c r="DT152" s="24"/>
      <c r="DU152" s="24"/>
      <c r="DV152" s="24"/>
      <c r="DW152" s="24"/>
      <c r="DX152" s="24"/>
      <c r="DY152" s="24"/>
      <c r="DZ152" s="24"/>
      <c r="EA152" s="24"/>
      <c r="EB152" s="24"/>
      <c r="EC152" s="24"/>
      <c r="ED152" s="24"/>
      <c r="EE152" s="24"/>
      <c r="EF152" s="24"/>
      <c r="EG152" s="24"/>
      <c r="EH152" s="24"/>
      <c r="EI152" s="24"/>
      <c r="EJ152" s="24"/>
      <c r="EK152" s="24"/>
      <c r="EL152" s="24"/>
      <c r="EM152" s="24"/>
      <c r="EN152" s="24"/>
      <c r="EO152" s="24"/>
      <c r="EP152" s="24"/>
      <c r="EQ152" s="24"/>
      <c r="ER152" s="24"/>
      <c r="ES152" s="24"/>
      <c r="ET152" s="24"/>
      <c r="EU152" s="24"/>
      <c r="EV152" s="24"/>
      <c r="EW152" s="24"/>
      <c r="EX152" s="24"/>
      <c r="EY152" s="24"/>
      <c r="EZ152" s="24"/>
    </row>
    <row r="153" spans="27:156">
      <c r="AA153" s="24"/>
      <c r="AB153" s="31">
        <v>107</v>
      </c>
      <c r="AC153" s="22">
        <v>126</v>
      </c>
      <c r="AD153" s="22">
        <v>122</v>
      </c>
      <c r="AE153" s="22">
        <v>116</v>
      </c>
      <c r="AF153" s="22">
        <v>112</v>
      </c>
      <c r="AG153" s="22">
        <v>109</v>
      </c>
      <c r="AH153" s="22">
        <v>106</v>
      </c>
      <c r="AI153" s="22">
        <v>103</v>
      </c>
      <c r="AJ153" s="22">
        <v>103</v>
      </c>
      <c r="AK153" s="22">
        <v>103</v>
      </c>
      <c r="AL153" s="22">
        <v>104</v>
      </c>
      <c r="AM153" s="22">
        <v>105</v>
      </c>
      <c r="AN153" s="22">
        <v>107</v>
      </c>
      <c r="AO153" s="22">
        <v>109</v>
      </c>
      <c r="AP153" s="23">
        <v>111</v>
      </c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C153" s="24"/>
      <c r="DD153" s="24"/>
      <c r="DE153" s="24"/>
      <c r="DF153" s="24"/>
      <c r="DG153" s="24"/>
      <c r="DH153" s="24"/>
      <c r="DI153" s="24"/>
      <c r="DJ153" s="24"/>
      <c r="DK153" s="24"/>
      <c r="DL153" s="24"/>
      <c r="DM153" s="24"/>
      <c r="DN153" s="24"/>
      <c r="DO153" s="24"/>
      <c r="DP153" s="24"/>
      <c r="DQ153" s="24"/>
      <c r="DR153" s="24"/>
      <c r="DS153" s="24"/>
      <c r="DT153" s="24"/>
      <c r="DU153" s="24"/>
      <c r="DV153" s="24"/>
      <c r="DW153" s="24"/>
      <c r="DX153" s="24"/>
      <c r="DY153" s="24"/>
      <c r="DZ153" s="24"/>
      <c r="EA153" s="24"/>
      <c r="EB153" s="24"/>
      <c r="EC153" s="24"/>
      <c r="ED153" s="24"/>
      <c r="EE153" s="24"/>
      <c r="EF153" s="24"/>
      <c r="EG153" s="24"/>
      <c r="EH153" s="24"/>
      <c r="EI153" s="24"/>
      <c r="EJ153" s="24"/>
      <c r="EK153" s="24"/>
      <c r="EL153" s="24"/>
      <c r="EM153" s="24"/>
      <c r="EN153" s="24"/>
      <c r="EO153" s="24"/>
      <c r="EP153" s="24"/>
      <c r="EQ153" s="24"/>
      <c r="ER153" s="24"/>
      <c r="ES153" s="24"/>
      <c r="ET153" s="24"/>
      <c r="EU153" s="24"/>
      <c r="EV153" s="24"/>
      <c r="EW153" s="24"/>
      <c r="EX153" s="24"/>
      <c r="EY153" s="24"/>
      <c r="EZ153" s="24"/>
    </row>
    <row r="154" spans="27:156">
      <c r="AA154" s="24"/>
      <c r="AB154" s="31">
        <v>108</v>
      </c>
      <c r="AC154" s="22">
        <v>126</v>
      </c>
      <c r="AD154" s="22">
        <v>122</v>
      </c>
      <c r="AE154" s="22">
        <v>116</v>
      </c>
      <c r="AF154" s="22">
        <v>112</v>
      </c>
      <c r="AG154" s="22">
        <v>109</v>
      </c>
      <c r="AH154" s="22">
        <v>106</v>
      </c>
      <c r="AI154" s="22">
        <v>103</v>
      </c>
      <c r="AJ154" s="22">
        <v>103</v>
      </c>
      <c r="AK154" s="22">
        <v>103</v>
      </c>
      <c r="AL154" s="22">
        <v>104</v>
      </c>
      <c r="AM154" s="22">
        <v>105</v>
      </c>
      <c r="AN154" s="22">
        <v>107</v>
      </c>
      <c r="AO154" s="22">
        <v>109</v>
      </c>
      <c r="AP154" s="22">
        <v>112</v>
      </c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4"/>
      <c r="CA154" s="24"/>
      <c r="CB154" s="24"/>
      <c r="CC154" s="24"/>
      <c r="CD154" s="24"/>
      <c r="CE154" s="24"/>
      <c r="CF154" s="24"/>
      <c r="CG154" s="24"/>
      <c r="CH154" s="24"/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C154" s="24"/>
      <c r="DD154" s="24"/>
      <c r="DE154" s="24"/>
      <c r="DF154" s="24"/>
      <c r="DG154" s="24"/>
      <c r="DH154" s="24"/>
      <c r="DI154" s="24"/>
      <c r="DJ154" s="24"/>
      <c r="DK154" s="24"/>
      <c r="DL154" s="24"/>
      <c r="DM154" s="24"/>
      <c r="DN154" s="24"/>
      <c r="DO154" s="24"/>
      <c r="DP154" s="24"/>
      <c r="DQ154" s="24"/>
      <c r="DR154" s="24"/>
      <c r="DS154" s="24"/>
      <c r="DT154" s="24"/>
      <c r="DU154" s="24"/>
      <c r="DV154" s="24"/>
      <c r="DW154" s="24"/>
      <c r="DX154" s="24"/>
      <c r="DY154" s="24"/>
      <c r="DZ154" s="24"/>
      <c r="EA154" s="24"/>
      <c r="EB154" s="24"/>
      <c r="EC154" s="24"/>
      <c r="ED154" s="24"/>
      <c r="EE154" s="24"/>
      <c r="EF154" s="24"/>
      <c r="EG154" s="24"/>
      <c r="EH154" s="24"/>
      <c r="EI154" s="24"/>
      <c r="EJ154" s="24"/>
      <c r="EK154" s="24"/>
      <c r="EL154" s="24"/>
      <c r="EM154" s="24"/>
      <c r="EN154" s="24"/>
      <c r="EO154" s="24"/>
      <c r="EP154" s="24"/>
      <c r="EQ154" s="24"/>
      <c r="ER154" s="24"/>
      <c r="ES154" s="24"/>
      <c r="ET154" s="24"/>
      <c r="EU154" s="24"/>
      <c r="EV154" s="24"/>
      <c r="EW154" s="24"/>
      <c r="EX154" s="24"/>
      <c r="EY154" s="24"/>
      <c r="EZ154" s="24"/>
    </row>
    <row r="155" spans="27:156">
      <c r="AA155" s="24"/>
      <c r="AB155" s="31">
        <v>109</v>
      </c>
      <c r="AC155" s="22">
        <v>126</v>
      </c>
      <c r="AD155" s="22">
        <v>122</v>
      </c>
      <c r="AE155" s="22">
        <v>116</v>
      </c>
      <c r="AF155" s="22">
        <v>112</v>
      </c>
      <c r="AG155" s="22">
        <v>109</v>
      </c>
      <c r="AH155" s="22">
        <v>106</v>
      </c>
      <c r="AI155" s="22">
        <v>103</v>
      </c>
      <c r="AJ155" s="22">
        <v>103</v>
      </c>
      <c r="AK155" s="22">
        <v>103</v>
      </c>
      <c r="AL155" s="22">
        <v>104</v>
      </c>
      <c r="AM155" s="22">
        <v>105</v>
      </c>
      <c r="AN155" s="22">
        <v>107</v>
      </c>
      <c r="AO155" s="22">
        <v>109</v>
      </c>
      <c r="AP155" s="23">
        <v>114</v>
      </c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4"/>
      <c r="CF155" s="24"/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  <c r="DE155" s="24"/>
      <c r="DF155" s="24"/>
      <c r="DG155" s="24"/>
      <c r="DH155" s="24"/>
      <c r="DI155" s="24"/>
      <c r="DJ155" s="24"/>
      <c r="DK155" s="24"/>
      <c r="DL155" s="24"/>
      <c r="DM155" s="24"/>
      <c r="DN155" s="24"/>
      <c r="DO155" s="24"/>
      <c r="DP155" s="24"/>
      <c r="DQ155" s="24"/>
      <c r="DR155" s="24"/>
      <c r="DS155" s="24"/>
      <c r="DT155" s="24"/>
      <c r="DU155" s="24"/>
      <c r="DV155" s="24"/>
      <c r="DW155" s="24"/>
      <c r="DX155" s="24"/>
      <c r="DY155" s="24"/>
      <c r="DZ155" s="24"/>
      <c r="EA155" s="24"/>
      <c r="EB155" s="24"/>
      <c r="EC155" s="24"/>
      <c r="ED155" s="24"/>
      <c r="EE155" s="24"/>
      <c r="EF155" s="24"/>
      <c r="EG155" s="24"/>
      <c r="EH155" s="24"/>
      <c r="EI155" s="24"/>
      <c r="EJ155" s="24"/>
      <c r="EK155" s="24"/>
      <c r="EL155" s="24"/>
      <c r="EM155" s="24"/>
      <c r="EN155" s="24"/>
      <c r="EO155" s="24"/>
      <c r="EP155" s="24"/>
      <c r="EQ155" s="24"/>
      <c r="ER155" s="24"/>
      <c r="ES155" s="24"/>
      <c r="ET155" s="24"/>
      <c r="EU155" s="24"/>
      <c r="EV155" s="24"/>
      <c r="EW155" s="24"/>
      <c r="EX155" s="24"/>
      <c r="EY155" s="24"/>
      <c r="EZ155" s="24"/>
    </row>
    <row r="156" spans="27:156">
      <c r="AA156" s="24"/>
      <c r="AB156" s="31">
        <v>110</v>
      </c>
      <c r="AC156" s="22">
        <v>126</v>
      </c>
      <c r="AD156" s="22">
        <v>122</v>
      </c>
      <c r="AE156" s="22">
        <v>116</v>
      </c>
      <c r="AF156" s="22">
        <v>112</v>
      </c>
      <c r="AG156" s="22">
        <v>109</v>
      </c>
      <c r="AH156" s="22">
        <v>106</v>
      </c>
      <c r="AI156" s="22">
        <v>103</v>
      </c>
      <c r="AJ156" s="22">
        <v>103</v>
      </c>
      <c r="AK156" s="22">
        <v>103</v>
      </c>
      <c r="AL156" s="22">
        <v>104</v>
      </c>
      <c r="AM156" s="22">
        <v>105</v>
      </c>
      <c r="AN156" s="22">
        <v>107</v>
      </c>
      <c r="AO156" s="22">
        <v>109</v>
      </c>
      <c r="AP156" s="22">
        <v>115</v>
      </c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4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  <c r="DH156" s="24"/>
      <c r="DI156" s="24"/>
      <c r="DJ156" s="24"/>
      <c r="DK156" s="24"/>
      <c r="DL156" s="24"/>
      <c r="DM156" s="24"/>
      <c r="DN156" s="24"/>
      <c r="DO156" s="24"/>
      <c r="DP156" s="24"/>
      <c r="DQ156" s="24"/>
      <c r="DR156" s="24"/>
      <c r="DS156" s="24"/>
      <c r="DT156" s="24"/>
      <c r="DU156" s="24"/>
      <c r="DV156" s="24"/>
      <c r="DW156" s="24"/>
      <c r="DX156" s="24"/>
      <c r="DY156" s="24"/>
      <c r="DZ156" s="24"/>
      <c r="EA156" s="24"/>
      <c r="EB156" s="24"/>
      <c r="EC156" s="24"/>
      <c r="ED156" s="24"/>
      <c r="EE156" s="24"/>
      <c r="EF156" s="24"/>
      <c r="EG156" s="24"/>
      <c r="EH156" s="24"/>
      <c r="EI156" s="24"/>
      <c r="EJ156" s="24"/>
      <c r="EK156" s="24"/>
      <c r="EL156" s="24"/>
      <c r="EM156" s="24"/>
      <c r="EN156" s="24"/>
      <c r="EO156" s="24"/>
      <c r="EP156" s="24"/>
      <c r="EQ156" s="24"/>
      <c r="ER156" s="24"/>
      <c r="ES156" s="24"/>
      <c r="ET156" s="24"/>
      <c r="EU156" s="24"/>
      <c r="EV156" s="24"/>
      <c r="EW156" s="24"/>
      <c r="EX156" s="24"/>
      <c r="EY156" s="24"/>
      <c r="EZ156" s="24"/>
    </row>
    <row r="157" spans="27:156">
      <c r="AA157" s="24"/>
      <c r="AB157" s="31">
        <v>111</v>
      </c>
      <c r="AC157" s="22">
        <v>132</v>
      </c>
      <c r="AD157" s="22">
        <v>127</v>
      </c>
      <c r="AE157" s="22">
        <v>121</v>
      </c>
      <c r="AF157" s="22">
        <v>117</v>
      </c>
      <c r="AG157" s="22">
        <v>114</v>
      </c>
      <c r="AH157" s="22">
        <v>110</v>
      </c>
      <c r="AI157" s="22">
        <v>107</v>
      </c>
      <c r="AJ157" s="22">
        <v>107</v>
      </c>
      <c r="AK157" s="22">
        <v>107</v>
      </c>
      <c r="AL157" s="22">
        <v>107</v>
      </c>
      <c r="AM157" s="22">
        <v>109</v>
      </c>
      <c r="AN157" s="22">
        <v>110</v>
      </c>
      <c r="AO157" s="22">
        <v>112</v>
      </c>
      <c r="AP157" s="23">
        <v>117</v>
      </c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  <c r="DH157" s="24"/>
      <c r="DI157" s="24"/>
      <c r="DJ157" s="24"/>
      <c r="DK157" s="24"/>
      <c r="DL157" s="24"/>
      <c r="DM157" s="24"/>
      <c r="DN157" s="24"/>
      <c r="DO157" s="24"/>
      <c r="DP157" s="24"/>
      <c r="DQ157" s="24"/>
      <c r="DR157" s="24"/>
      <c r="DS157" s="24"/>
      <c r="DT157" s="24"/>
      <c r="DU157" s="24"/>
      <c r="DV157" s="24"/>
      <c r="DW157" s="24"/>
      <c r="DX157" s="24"/>
      <c r="DY157" s="24"/>
      <c r="DZ157" s="24"/>
      <c r="EA157" s="24"/>
      <c r="EB157" s="24"/>
      <c r="EC157" s="24"/>
      <c r="ED157" s="24"/>
      <c r="EE157" s="24"/>
      <c r="EF157" s="24"/>
      <c r="EG157" s="24"/>
      <c r="EH157" s="24"/>
      <c r="EI157" s="24"/>
      <c r="EJ157" s="24"/>
      <c r="EK157" s="24"/>
      <c r="EL157" s="24"/>
      <c r="EM157" s="24"/>
      <c r="EN157" s="24"/>
      <c r="EO157" s="24"/>
      <c r="EP157" s="24"/>
      <c r="EQ157" s="24"/>
      <c r="ER157" s="24"/>
      <c r="ES157" s="24"/>
      <c r="ET157" s="24"/>
      <c r="EU157" s="24"/>
      <c r="EV157" s="24"/>
      <c r="EW157" s="24"/>
      <c r="EX157" s="24"/>
      <c r="EY157" s="24"/>
      <c r="EZ157" s="24"/>
    </row>
    <row r="158" spans="27:156">
      <c r="AA158" s="24"/>
      <c r="AB158" s="31">
        <v>112</v>
      </c>
      <c r="AC158" s="22">
        <v>132</v>
      </c>
      <c r="AD158" s="22">
        <v>127</v>
      </c>
      <c r="AE158" s="22">
        <v>121</v>
      </c>
      <c r="AF158" s="22">
        <v>117</v>
      </c>
      <c r="AG158" s="22">
        <v>114</v>
      </c>
      <c r="AH158" s="22">
        <v>110</v>
      </c>
      <c r="AI158" s="22">
        <v>107</v>
      </c>
      <c r="AJ158" s="22">
        <v>107</v>
      </c>
      <c r="AK158" s="22">
        <v>107</v>
      </c>
      <c r="AL158" s="22">
        <v>107</v>
      </c>
      <c r="AM158" s="22">
        <v>109</v>
      </c>
      <c r="AN158" s="22">
        <v>110</v>
      </c>
      <c r="AO158" s="22">
        <v>112</v>
      </c>
      <c r="AP158" s="22">
        <v>118</v>
      </c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4"/>
      <c r="CA158" s="24"/>
      <c r="CB158" s="24"/>
      <c r="CC158" s="24"/>
      <c r="CD158" s="24"/>
      <c r="CE158" s="24"/>
      <c r="CF158" s="24"/>
      <c r="CG158" s="24"/>
      <c r="CH158" s="24"/>
      <c r="CI158" s="24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C158" s="24"/>
      <c r="DD158" s="24"/>
      <c r="DE158" s="24"/>
      <c r="DF158" s="24"/>
      <c r="DG158" s="24"/>
      <c r="DH158" s="24"/>
      <c r="DI158" s="24"/>
      <c r="DJ158" s="24"/>
      <c r="DK158" s="24"/>
      <c r="DL158" s="24"/>
      <c r="DM158" s="24"/>
      <c r="DN158" s="24"/>
      <c r="DO158" s="24"/>
      <c r="DP158" s="24"/>
      <c r="DQ158" s="24"/>
      <c r="DR158" s="24"/>
      <c r="DS158" s="24"/>
      <c r="DT158" s="24"/>
      <c r="DU158" s="24"/>
      <c r="DV158" s="24"/>
      <c r="DW158" s="24"/>
      <c r="DX158" s="24"/>
      <c r="DY158" s="24"/>
      <c r="DZ158" s="24"/>
      <c r="EA158" s="24"/>
      <c r="EB158" s="24"/>
      <c r="EC158" s="24"/>
      <c r="ED158" s="24"/>
      <c r="EE158" s="24"/>
      <c r="EF158" s="24"/>
      <c r="EG158" s="24"/>
      <c r="EH158" s="24"/>
      <c r="EI158" s="24"/>
      <c r="EJ158" s="24"/>
      <c r="EK158" s="24"/>
      <c r="EL158" s="24"/>
      <c r="EM158" s="24"/>
      <c r="EN158" s="24"/>
      <c r="EO158" s="24"/>
      <c r="EP158" s="24"/>
      <c r="EQ158" s="24"/>
      <c r="ER158" s="24"/>
      <c r="ES158" s="24"/>
      <c r="ET158" s="24"/>
      <c r="EU158" s="24"/>
      <c r="EV158" s="24"/>
      <c r="EW158" s="24"/>
      <c r="EX158" s="24"/>
      <c r="EY158" s="24"/>
      <c r="EZ158" s="24"/>
    </row>
    <row r="159" spans="27:156">
      <c r="AA159" s="24"/>
      <c r="AB159" s="31">
        <v>113</v>
      </c>
      <c r="AC159" s="22">
        <v>132</v>
      </c>
      <c r="AD159" s="22">
        <v>127</v>
      </c>
      <c r="AE159" s="22">
        <v>121</v>
      </c>
      <c r="AF159" s="22">
        <v>117</v>
      </c>
      <c r="AG159" s="22">
        <v>114</v>
      </c>
      <c r="AH159" s="22">
        <v>110</v>
      </c>
      <c r="AI159" s="22">
        <v>107</v>
      </c>
      <c r="AJ159" s="22">
        <v>107</v>
      </c>
      <c r="AK159" s="22">
        <v>107</v>
      </c>
      <c r="AL159" s="22">
        <v>107</v>
      </c>
      <c r="AM159" s="22">
        <v>109</v>
      </c>
      <c r="AN159" s="22">
        <v>110</v>
      </c>
      <c r="AO159" s="22">
        <v>112</v>
      </c>
      <c r="AP159" s="23">
        <v>120</v>
      </c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4"/>
      <c r="CF159" s="24"/>
      <c r="CG159" s="24"/>
      <c r="CH159" s="24"/>
      <c r="CI159" s="24"/>
      <c r="CJ159" s="24"/>
      <c r="CK159" s="24"/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C159" s="24"/>
      <c r="DD159" s="24"/>
      <c r="DE159" s="24"/>
      <c r="DF159" s="24"/>
      <c r="DG159" s="24"/>
      <c r="DH159" s="24"/>
      <c r="DI159" s="24"/>
      <c r="DJ159" s="24"/>
      <c r="DK159" s="24"/>
      <c r="DL159" s="24"/>
      <c r="DM159" s="24"/>
      <c r="DN159" s="24"/>
      <c r="DO159" s="24"/>
      <c r="DP159" s="24"/>
      <c r="DQ159" s="24"/>
      <c r="DR159" s="24"/>
      <c r="DS159" s="24"/>
      <c r="DT159" s="24"/>
      <c r="DU159" s="24"/>
      <c r="DV159" s="24"/>
      <c r="DW159" s="24"/>
      <c r="DX159" s="24"/>
      <c r="DY159" s="24"/>
      <c r="DZ159" s="24"/>
      <c r="EA159" s="24"/>
      <c r="EB159" s="24"/>
      <c r="EC159" s="24"/>
      <c r="ED159" s="24"/>
      <c r="EE159" s="24"/>
      <c r="EF159" s="24"/>
      <c r="EG159" s="24"/>
      <c r="EH159" s="24"/>
      <c r="EI159" s="24"/>
      <c r="EJ159" s="24"/>
      <c r="EK159" s="24"/>
      <c r="EL159" s="24"/>
      <c r="EM159" s="24"/>
      <c r="EN159" s="24"/>
      <c r="EO159" s="24"/>
      <c r="EP159" s="24"/>
      <c r="EQ159" s="24"/>
      <c r="ER159" s="24"/>
      <c r="ES159" s="24"/>
      <c r="ET159" s="24"/>
      <c r="EU159" s="24"/>
      <c r="EV159" s="24"/>
      <c r="EW159" s="24"/>
      <c r="EX159" s="24"/>
      <c r="EY159" s="24"/>
      <c r="EZ159" s="24"/>
    </row>
    <row r="160" spans="27:156">
      <c r="AA160" s="24"/>
      <c r="AB160" s="31">
        <v>114</v>
      </c>
      <c r="AC160" s="22">
        <v>132</v>
      </c>
      <c r="AD160" s="22">
        <v>127</v>
      </c>
      <c r="AE160" s="22">
        <v>121</v>
      </c>
      <c r="AF160" s="22">
        <v>117</v>
      </c>
      <c r="AG160" s="22">
        <v>114</v>
      </c>
      <c r="AH160" s="22">
        <v>110</v>
      </c>
      <c r="AI160" s="22">
        <v>107</v>
      </c>
      <c r="AJ160" s="22">
        <v>107</v>
      </c>
      <c r="AK160" s="22">
        <v>107</v>
      </c>
      <c r="AL160" s="22">
        <v>107</v>
      </c>
      <c r="AM160" s="22">
        <v>109</v>
      </c>
      <c r="AN160" s="22">
        <v>110</v>
      </c>
      <c r="AO160" s="22">
        <v>112</v>
      </c>
      <c r="AP160" s="22">
        <v>121</v>
      </c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4"/>
      <c r="CA160" s="24"/>
      <c r="CB160" s="24"/>
      <c r="CC160" s="24"/>
      <c r="CD160" s="24"/>
      <c r="CE160" s="24"/>
      <c r="CF160" s="24"/>
      <c r="CG160" s="24"/>
      <c r="CH160" s="24"/>
      <c r="CI160" s="24"/>
      <c r="CJ160" s="24"/>
      <c r="CK160" s="24"/>
      <c r="CL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C160" s="24"/>
      <c r="DD160" s="24"/>
      <c r="DE160" s="24"/>
      <c r="DF160" s="24"/>
      <c r="DG160" s="24"/>
      <c r="DH160" s="24"/>
      <c r="DI160" s="24"/>
      <c r="DJ160" s="24"/>
      <c r="DK160" s="24"/>
      <c r="DL160" s="24"/>
      <c r="DM160" s="24"/>
      <c r="DN160" s="24"/>
      <c r="DO160" s="24"/>
      <c r="DP160" s="24"/>
      <c r="DQ160" s="24"/>
      <c r="DR160" s="24"/>
      <c r="DS160" s="24"/>
      <c r="DT160" s="24"/>
      <c r="DU160" s="24"/>
      <c r="DV160" s="24"/>
      <c r="DW160" s="24"/>
      <c r="DX160" s="24"/>
      <c r="DY160" s="24"/>
      <c r="DZ160" s="24"/>
      <c r="EA160" s="24"/>
      <c r="EB160" s="24"/>
      <c r="EC160" s="24"/>
      <c r="ED160" s="24"/>
      <c r="EE160" s="24"/>
      <c r="EF160" s="24"/>
      <c r="EG160" s="24"/>
      <c r="EH160" s="24"/>
      <c r="EI160" s="24"/>
      <c r="EJ160" s="24"/>
      <c r="EK160" s="24"/>
      <c r="EL160" s="24"/>
      <c r="EM160" s="24"/>
      <c r="EN160" s="24"/>
      <c r="EO160" s="24"/>
      <c r="EP160" s="24"/>
      <c r="EQ160" s="24"/>
      <c r="ER160" s="24"/>
      <c r="ES160" s="24"/>
      <c r="ET160" s="24"/>
      <c r="EU160" s="24"/>
      <c r="EV160" s="24"/>
      <c r="EW160" s="24"/>
      <c r="EX160" s="24"/>
      <c r="EY160" s="24"/>
      <c r="EZ160" s="24"/>
    </row>
    <row r="161" spans="27:156">
      <c r="AA161" s="24"/>
      <c r="AB161" s="31">
        <v>115</v>
      </c>
      <c r="AC161" s="22">
        <v>132</v>
      </c>
      <c r="AD161" s="22">
        <v>127</v>
      </c>
      <c r="AE161" s="22">
        <v>121</v>
      </c>
      <c r="AF161" s="22">
        <v>117</v>
      </c>
      <c r="AG161" s="22">
        <v>114</v>
      </c>
      <c r="AH161" s="22">
        <v>110</v>
      </c>
      <c r="AI161" s="22">
        <v>107</v>
      </c>
      <c r="AJ161" s="22">
        <v>107</v>
      </c>
      <c r="AK161" s="22">
        <v>107</v>
      </c>
      <c r="AL161" s="22">
        <v>107</v>
      </c>
      <c r="AM161" s="22">
        <v>109</v>
      </c>
      <c r="AN161" s="22">
        <v>110</v>
      </c>
      <c r="AO161" s="22">
        <v>112</v>
      </c>
      <c r="AP161" s="23">
        <v>123</v>
      </c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24"/>
      <c r="DF161" s="24"/>
      <c r="DG161" s="24"/>
      <c r="DH161" s="24"/>
      <c r="DI161" s="24"/>
      <c r="DJ161" s="24"/>
      <c r="DK161" s="24"/>
      <c r="DL161" s="24"/>
      <c r="DM161" s="24"/>
      <c r="DN161" s="24"/>
      <c r="DO161" s="24"/>
      <c r="DP161" s="24"/>
      <c r="DQ161" s="24"/>
      <c r="DR161" s="24"/>
      <c r="DS161" s="24"/>
      <c r="DT161" s="24"/>
      <c r="DU161" s="24"/>
      <c r="DV161" s="24"/>
      <c r="DW161" s="24"/>
      <c r="DX161" s="24"/>
      <c r="DY161" s="24"/>
      <c r="DZ161" s="24"/>
      <c r="EA161" s="24"/>
      <c r="EB161" s="24"/>
      <c r="EC161" s="24"/>
      <c r="ED161" s="24"/>
      <c r="EE161" s="24"/>
      <c r="EF161" s="24"/>
      <c r="EG161" s="24"/>
      <c r="EH161" s="24"/>
      <c r="EI161" s="24"/>
      <c r="EJ161" s="24"/>
      <c r="EK161" s="24"/>
      <c r="EL161" s="24"/>
      <c r="EM161" s="24"/>
      <c r="EN161" s="24"/>
      <c r="EO161" s="24"/>
      <c r="EP161" s="24"/>
      <c r="EQ161" s="24"/>
      <c r="ER161" s="24"/>
      <c r="ES161" s="24"/>
      <c r="ET161" s="24"/>
      <c r="EU161" s="24"/>
      <c r="EV161" s="24"/>
      <c r="EW161" s="24"/>
      <c r="EX161" s="24"/>
      <c r="EY161" s="24"/>
      <c r="EZ161" s="24"/>
    </row>
    <row r="162" spans="27:156">
      <c r="AA162" s="24"/>
      <c r="AB162" s="31">
        <v>116</v>
      </c>
      <c r="AC162" s="22">
        <v>132</v>
      </c>
      <c r="AD162" s="22">
        <v>127</v>
      </c>
      <c r="AE162" s="22">
        <v>121</v>
      </c>
      <c r="AF162" s="22">
        <v>117</v>
      </c>
      <c r="AG162" s="22">
        <v>114</v>
      </c>
      <c r="AH162" s="22">
        <v>110</v>
      </c>
      <c r="AI162" s="22">
        <v>107</v>
      </c>
      <c r="AJ162" s="22">
        <v>107</v>
      </c>
      <c r="AK162" s="22">
        <v>107</v>
      </c>
      <c r="AL162" s="22">
        <v>107</v>
      </c>
      <c r="AM162" s="22">
        <v>109</v>
      </c>
      <c r="AN162" s="22">
        <v>110</v>
      </c>
      <c r="AO162" s="22">
        <v>112</v>
      </c>
      <c r="AP162" s="22">
        <v>124</v>
      </c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4"/>
      <c r="CJ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C162" s="24"/>
      <c r="DD162" s="24"/>
      <c r="DE162" s="24"/>
      <c r="DF162" s="24"/>
      <c r="DG162" s="24"/>
      <c r="DH162" s="24"/>
      <c r="DI162" s="24"/>
      <c r="DJ162" s="24"/>
      <c r="DK162" s="24"/>
      <c r="DL162" s="24"/>
      <c r="DM162" s="24"/>
      <c r="DN162" s="24"/>
      <c r="DO162" s="24"/>
      <c r="DP162" s="24"/>
      <c r="DQ162" s="24"/>
      <c r="DR162" s="24"/>
      <c r="DS162" s="24"/>
      <c r="DT162" s="24"/>
      <c r="DU162" s="24"/>
      <c r="DV162" s="24"/>
      <c r="DW162" s="24"/>
      <c r="DX162" s="24"/>
      <c r="DY162" s="24"/>
      <c r="DZ162" s="24"/>
      <c r="EA162" s="24"/>
      <c r="EB162" s="24"/>
      <c r="EC162" s="24"/>
      <c r="ED162" s="24"/>
      <c r="EE162" s="24"/>
      <c r="EF162" s="24"/>
      <c r="EG162" s="24"/>
      <c r="EH162" s="24"/>
      <c r="EI162" s="24"/>
      <c r="EJ162" s="24"/>
      <c r="EK162" s="24"/>
      <c r="EL162" s="24"/>
      <c r="EM162" s="24"/>
      <c r="EN162" s="24"/>
      <c r="EO162" s="24"/>
      <c r="EP162" s="24"/>
      <c r="EQ162" s="24"/>
      <c r="ER162" s="24"/>
      <c r="ES162" s="24"/>
      <c r="ET162" s="24"/>
      <c r="EU162" s="24"/>
      <c r="EV162" s="24"/>
      <c r="EW162" s="24"/>
      <c r="EX162" s="24"/>
      <c r="EY162" s="24"/>
      <c r="EZ162" s="24"/>
    </row>
    <row r="163" spans="27:156">
      <c r="AA163" s="24"/>
      <c r="AB163" s="31">
        <v>117</v>
      </c>
      <c r="AC163" s="22">
        <v>132</v>
      </c>
      <c r="AD163" s="22">
        <v>127</v>
      </c>
      <c r="AE163" s="22">
        <v>121</v>
      </c>
      <c r="AF163" s="22">
        <v>117</v>
      </c>
      <c r="AG163" s="22">
        <v>114</v>
      </c>
      <c r="AH163" s="22">
        <v>110</v>
      </c>
      <c r="AI163" s="22">
        <v>107</v>
      </c>
      <c r="AJ163" s="22">
        <v>107</v>
      </c>
      <c r="AK163" s="22">
        <v>107</v>
      </c>
      <c r="AL163" s="22">
        <v>107</v>
      </c>
      <c r="AM163" s="22">
        <v>109</v>
      </c>
      <c r="AN163" s="22">
        <v>110</v>
      </c>
      <c r="AO163" s="22">
        <v>112</v>
      </c>
      <c r="AP163" s="23">
        <v>126</v>
      </c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4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C163" s="24"/>
      <c r="DD163" s="24"/>
      <c r="DE163" s="24"/>
      <c r="DF163" s="24"/>
      <c r="DG163" s="24"/>
      <c r="DH163" s="24"/>
      <c r="DI163" s="24"/>
      <c r="DJ163" s="24"/>
      <c r="DK163" s="24"/>
      <c r="DL163" s="24"/>
      <c r="DM163" s="24"/>
      <c r="DN163" s="24"/>
      <c r="DO163" s="24"/>
      <c r="DP163" s="24"/>
      <c r="DQ163" s="24"/>
      <c r="DR163" s="24"/>
      <c r="DS163" s="24"/>
      <c r="DT163" s="24"/>
      <c r="DU163" s="24"/>
      <c r="DV163" s="24"/>
      <c r="DW163" s="24"/>
      <c r="DX163" s="24"/>
      <c r="DY163" s="24"/>
      <c r="DZ163" s="24"/>
      <c r="EA163" s="24"/>
      <c r="EB163" s="24"/>
      <c r="EC163" s="24"/>
      <c r="ED163" s="24"/>
      <c r="EE163" s="24"/>
      <c r="EF163" s="24"/>
      <c r="EG163" s="24"/>
      <c r="EH163" s="24"/>
      <c r="EI163" s="24"/>
      <c r="EJ163" s="24"/>
      <c r="EK163" s="24"/>
      <c r="EL163" s="24"/>
      <c r="EM163" s="24"/>
      <c r="EN163" s="24"/>
      <c r="EO163" s="24"/>
      <c r="EP163" s="24"/>
      <c r="EQ163" s="24"/>
      <c r="ER163" s="24"/>
      <c r="ES163" s="24"/>
      <c r="ET163" s="24"/>
      <c r="EU163" s="24"/>
      <c r="EV163" s="24"/>
      <c r="EW163" s="24"/>
      <c r="EX163" s="24"/>
      <c r="EY163" s="24"/>
      <c r="EZ163" s="24"/>
    </row>
    <row r="164" spans="27:156">
      <c r="AA164" s="24"/>
      <c r="AB164" s="31">
        <v>118</v>
      </c>
      <c r="AC164" s="22">
        <v>132</v>
      </c>
      <c r="AD164" s="22">
        <v>127</v>
      </c>
      <c r="AE164" s="22">
        <v>121</v>
      </c>
      <c r="AF164" s="22">
        <v>117</v>
      </c>
      <c r="AG164" s="22">
        <v>114</v>
      </c>
      <c r="AH164" s="22">
        <v>110</v>
      </c>
      <c r="AI164" s="22">
        <v>107</v>
      </c>
      <c r="AJ164" s="22">
        <v>107</v>
      </c>
      <c r="AK164" s="22">
        <v>107</v>
      </c>
      <c r="AL164" s="22">
        <v>107</v>
      </c>
      <c r="AM164" s="22">
        <v>109</v>
      </c>
      <c r="AN164" s="22">
        <v>110</v>
      </c>
      <c r="AO164" s="22">
        <v>112</v>
      </c>
      <c r="AP164" s="22">
        <v>127</v>
      </c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  <c r="DH164" s="24"/>
      <c r="DI164" s="24"/>
      <c r="DJ164" s="24"/>
      <c r="DK164" s="24"/>
      <c r="DL164" s="24"/>
      <c r="DM164" s="24"/>
      <c r="DN164" s="24"/>
      <c r="DO164" s="24"/>
      <c r="DP164" s="24"/>
      <c r="DQ164" s="24"/>
      <c r="DR164" s="24"/>
      <c r="DS164" s="24"/>
      <c r="DT164" s="24"/>
      <c r="DU164" s="24"/>
      <c r="DV164" s="24"/>
      <c r="DW164" s="24"/>
      <c r="DX164" s="24"/>
      <c r="DY164" s="24"/>
      <c r="DZ164" s="24"/>
      <c r="EA164" s="24"/>
      <c r="EB164" s="24"/>
      <c r="EC164" s="24"/>
      <c r="ED164" s="24"/>
      <c r="EE164" s="24"/>
      <c r="EF164" s="24"/>
      <c r="EG164" s="24"/>
      <c r="EH164" s="24"/>
      <c r="EI164" s="24"/>
      <c r="EJ164" s="24"/>
      <c r="EK164" s="24"/>
      <c r="EL164" s="24"/>
      <c r="EM164" s="24"/>
      <c r="EN164" s="24"/>
      <c r="EO164" s="24"/>
      <c r="EP164" s="24"/>
      <c r="EQ164" s="24"/>
      <c r="ER164" s="24"/>
      <c r="ES164" s="24"/>
      <c r="ET164" s="24"/>
      <c r="EU164" s="24"/>
      <c r="EV164" s="24"/>
      <c r="EW164" s="24"/>
      <c r="EX164" s="24"/>
      <c r="EY164" s="24"/>
      <c r="EZ164" s="24"/>
    </row>
    <row r="165" spans="27:156">
      <c r="AA165" s="24"/>
      <c r="AB165" s="31">
        <v>119</v>
      </c>
      <c r="AC165" s="22">
        <v>132</v>
      </c>
      <c r="AD165" s="22">
        <v>127</v>
      </c>
      <c r="AE165" s="22">
        <v>121</v>
      </c>
      <c r="AF165" s="22">
        <v>117</v>
      </c>
      <c r="AG165" s="22">
        <v>114</v>
      </c>
      <c r="AH165" s="22">
        <v>110</v>
      </c>
      <c r="AI165" s="22">
        <v>107</v>
      </c>
      <c r="AJ165" s="22">
        <v>107</v>
      </c>
      <c r="AK165" s="22">
        <v>107</v>
      </c>
      <c r="AL165" s="22">
        <v>107</v>
      </c>
      <c r="AM165" s="22">
        <v>109</v>
      </c>
      <c r="AN165" s="22">
        <v>110</v>
      </c>
      <c r="AO165" s="22">
        <v>112</v>
      </c>
      <c r="AP165" s="23">
        <v>129</v>
      </c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4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C165" s="24"/>
      <c r="DD165" s="24"/>
      <c r="DE165" s="24"/>
      <c r="DF165" s="24"/>
      <c r="DG165" s="24"/>
      <c r="DH165" s="24"/>
      <c r="DI165" s="24"/>
      <c r="DJ165" s="24"/>
      <c r="DK165" s="24"/>
      <c r="DL165" s="24"/>
      <c r="DM165" s="24"/>
      <c r="DN165" s="24"/>
      <c r="DO165" s="24"/>
      <c r="DP165" s="24"/>
      <c r="DQ165" s="24"/>
      <c r="DR165" s="24"/>
      <c r="DS165" s="24"/>
      <c r="DT165" s="24"/>
      <c r="DU165" s="24"/>
      <c r="DV165" s="24"/>
      <c r="DW165" s="24"/>
      <c r="DX165" s="24"/>
      <c r="DY165" s="24"/>
      <c r="DZ165" s="24"/>
      <c r="EA165" s="24"/>
      <c r="EB165" s="24"/>
      <c r="EC165" s="24"/>
      <c r="ED165" s="24"/>
      <c r="EE165" s="24"/>
      <c r="EF165" s="24"/>
      <c r="EG165" s="24"/>
      <c r="EH165" s="24"/>
      <c r="EI165" s="24"/>
      <c r="EJ165" s="24"/>
      <c r="EK165" s="24"/>
      <c r="EL165" s="24"/>
      <c r="EM165" s="24"/>
      <c r="EN165" s="24"/>
      <c r="EO165" s="24"/>
      <c r="EP165" s="24"/>
      <c r="EQ165" s="24"/>
      <c r="ER165" s="24"/>
      <c r="ES165" s="24"/>
      <c r="ET165" s="24"/>
      <c r="EU165" s="24"/>
      <c r="EV165" s="24"/>
      <c r="EW165" s="24"/>
      <c r="EX165" s="24"/>
      <c r="EY165" s="24"/>
      <c r="EZ165" s="24"/>
    </row>
    <row r="166" spans="27:156">
      <c r="AA166" s="24"/>
      <c r="AB166" s="31">
        <v>120</v>
      </c>
      <c r="AC166" s="22">
        <v>132</v>
      </c>
      <c r="AD166" s="22">
        <v>127</v>
      </c>
      <c r="AE166" s="22">
        <v>121</v>
      </c>
      <c r="AF166" s="22">
        <v>117</v>
      </c>
      <c r="AG166" s="22">
        <v>114</v>
      </c>
      <c r="AH166" s="22">
        <v>110</v>
      </c>
      <c r="AI166" s="22">
        <v>107</v>
      </c>
      <c r="AJ166" s="22">
        <v>107</v>
      </c>
      <c r="AK166" s="22">
        <v>107</v>
      </c>
      <c r="AL166" s="22">
        <v>107</v>
      </c>
      <c r="AM166" s="22">
        <v>109</v>
      </c>
      <c r="AN166" s="22">
        <v>110</v>
      </c>
      <c r="AO166" s="22">
        <v>112</v>
      </c>
      <c r="AP166" s="22">
        <v>130</v>
      </c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4"/>
      <c r="CJ166" s="24"/>
      <c r="CK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C166" s="24"/>
      <c r="DD166" s="24"/>
      <c r="DE166" s="24"/>
      <c r="DF166" s="24"/>
      <c r="DG166" s="24"/>
      <c r="DH166" s="24"/>
      <c r="DI166" s="24"/>
      <c r="DJ166" s="24"/>
      <c r="DK166" s="24"/>
      <c r="DL166" s="24"/>
      <c r="DM166" s="24"/>
      <c r="DN166" s="24"/>
      <c r="DO166" s="24"/>
      <c r="DP166" s="24"/>
      <c r="DQ166" s="24"/>
      <c r="DR166" s="24"/>
      <c r="DS166" s="24"/>
      <c r="DT166" s="24"/>
      <c r="DU166" s="24"/>
      <c r="DV166" s="24"/>
      <c r="DW166" s="24"/>
      <c r="DX166" s="24"/>
      <c r="DY166" s="24"/>
      <c r="DZ166" s="24"/>
      <c r="EA166" s="24"/>
      <c r="EB166" s="24"/>
      <c r="EC166" s="24"/>
      <c r="ED166" s="24"/>
      <c r="EE166" s="24"/>
      <c r="EF166" s="24"/>
      <c r="EG166" s="24"/>
      <c r="EH166" s="24"/>
      <c r="EI166" s="24"/>
      <c r="EJ166" s="24"/>
      <c r="EK166" s="24"/>
      <c r="EL166" s="24"/>
      <c r="EM166" s="24"/>
      <c r="EN166" s="24"/>
      <c r="EO166" s="24"/>
      <c r="EP166" s="24"/>
      <c r="EQ166" s="24"/>
      <c r="ER166" s="24"/>
      <c r="ES166" s="24"/>
      <c r="ET166" s="24"/>
      <c r="EU166" s="24"/>
      <c r="EV166" s="24"/>
      <c r="EW166" s="24"/>
      <c r="EX166" s="24"/>
      <c r="EY166" s="24"/>
      <c r="EZ166" s="24"/>
    </row>
    <row r="167" spans="27:156">
      <c r="AA167" s="24"/>
      <c r="AB167" s="31">
        <v>121</v>
      </c>
      <c r="AC167" s="22">
        <v>138</v>
      </c>
      <c r="AD167" s="22">
        <v>132</v>
      </c>
      <c r="AE167" s="22">
        <v>126</v>
      </c>
      <c r="AF167" s="22">
        <v>121</v>
      </c>
      <c r="AG167" s="22">
        <v>118</v>
      </c>
      <c r="AH167" s="22">
        <v>115</v>
      </c>
      <c r="AI167" s="22">
        <v>111</v>
      </c>
      <c r="AJ167" s="22">
        <v>111</v>
      </c>
      <c r="AK167" s="22">
        <v>111</v>
      </c>
      <c r="AL167" s="22">
        <v>111</v>
      </c>
      <c r="AM167" s="22">
        <v>112</v>
      </c>
      <c r="AN167" s="22">
        <v>114</v>
      </c>
      <c r="AO167" s="22">
        <v>115</v>
      </c>
      <c r="AP167" s="23">
        <v>132</v>
      </c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4"/>
      <c r="CJ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C167" s="24"/>
      <c r="DD167" s="24"/>
      <c r="DE167" s="24"/>
      <c r="DF167" s="24"/>
      <c r="DG167" s="24"/>
      <c r="DH167" s="24"/>
      <c r="DI167" s="24"/>
      <c r="DJ167" s="24"/>
      <c r="DK167" s="24"/>
      <c r="DL167" s="24"/>
      <c r="DM167" s="24"/>
      <c r="DN167" s="24"/>
      <c r="DO167" s="24"/>
      <c r="DP167" s="24"/>
      <c r="DQ167" s="24"/>
      <c r="DR167" s="24"/>
      <c r="DS167" s="24"/>
      <c r="DT167" s="24"/>
      <c r="DU167" s="24"/>
      <c r="DV167" s="24"/>
      <c r="DW167" s="24"/>
      <c r="DX167" s="24"/>
      <c r="DY167" s="24"/>
      <c r="DZ167" s="24"/>
      <c r="EA167" s="24"/>
      <c r="EB167" s="24"/>
      <c r="EC167" s="24"/>
      <c r="ED167" s="24"/>
      <c r="EE167" s="24"/>
      <c r="EF167" s="24"/>
      <c r="EG167" s="24"/>
      <c r="EH167" s="24"/>
      <c r="EI167" s="24"/>
      <c r="EJ167" s="24"/>
      <c r="EK167" s="24"/>
      <c r="EL167" s="24"/>
      <c r="EM167" s="24"/>
      <c r="EN167" s="24"/>
      <c r="EO167" s="24"/>
      <c r="EP167" s="24"/>
      <c r="EQ167" s="24"/>
      <c r="ER167" s="24"/>
      <c r="ES167" s="24"/>
      <c r="ET167" s="24"/>
      <c r="EU167" s="24"/>
      <c r="EV167" s="24"/>
      <c r="EW167" s="24"/>
      <c r="EX167" s="24"/>
      <c r="EY167" s="24"/>
      <c r="EZ167" s="24"/>
    </row>
    <row r="168" spans="27:156">
      <c r="AA168" s="24"/>
      <c r="AB168" s="31">
        <v>122</v>
      </c>
      <c r="AC168" s="22">
        <v>138</v>
      </c>
      <c r="AD168" s="22">
        <v>132</v>
      </c>
      <c r="AE168" s="22">
        <v>126</v>
      </c>
      <c r="AF168" s="22">
        <v>121</v>
      </c>
      <c r="AG168" s="22">
        <v>118</v>
      </c>
      <c r="AH168" s="22">
        <v>115</v>
      </c>
      <c r="AI168" s="22">
        <v>111</v>
      </c>
      <c r="AJ168" s="22">
        <v>111</v>
      </c>
      <c r="AK168" s="22">
        <v>111</v>
      </c>
      <c r="AL168" s="22">
        <v>111</v>
      </c>
      <c r="AM168" s="22">
        <v>112</v>
      </c>
      <c r="AN168" s="22">
        <v>114</v>
      </c>
      <c r="AO168" s="22">
        <v>115</v>
      </c>
      <c r="AP168" s="22">
        <v>133</v>
      </c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4"/>
      <c r="CJ168" s="24"/>
      <c r="CK168" s="24"/>
      <c r="CL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C168" s="24"/>
      <c r="DD168" s="24"/>
      <c r="DE168" s="24"/>
      <c r="DF168" s="24"/>
      <c r="DG168" s="24"/>
      <c r="DH168" s="24"/>
      <c r="DI168" s="24"/>
      <c r="DJ168" s="24"/>
      <c r="DK168" s="24"/>
      <c r="DL168" s="24"/>
      <c r="DM168" s="24"/>
      <c r="DN168" s="24"/>
      <c r="DO168" s="24"/>
      <c r="DP168" s="24"/>
      <c r="DQ168" s="24"/>
      <c r="DR168" s="24"/>
      <c r="DS168" s="24"/>
      <c r="DT168" s="24"/>
      <c r="DU168" s="24"/>
      <c r="DV168" s="24"/>
      <c r="DW168" s="24"/>
      <c r="DX168" s="24"/>
      <c r="DY168" s="24"/>
      <c r="DZ168" s="24"/>
      <c r="EA168" s="24"/>
      <c r="EB168" s="24"/>
      <c r="EC168" s="24"/>
      <c r="ED168" s="24"/>
      <c r="EE168" s="24"/>
      <c r="EF168" s="24"/>
      <c r="EG168" s="24"/>
      <c r="EH168" s="24"/>
      <c r="EI168" s="24"/>
      <c r="EJ168" s="24"/>
      <c r="EK168" s="24"/>
      <c r="EL168" s="24"/>
      <c r="EM168" s="24"/>
      <c r="EN168" s="24"/>
      <c r="EO168" s="24"/>
      <c r="EP168" s="24"/>
      <c r="EQ168" s="24"/>
      <c r="ER168" s="24"/>
      <c r="ES168" s="24"/>
      <c r="ET168" s="24"/>
      <c r="EU168" s="24"/>
      <c r="EV168" s="24"/>
      <c r="EW168" s="24"/>
      <c r="EX168" s="24"/>
      <c r="EY168" s="24"/>
      <c r="EZ168" s="24"/>
    </row>
    <row r="169" spans="27:156">
      <c r="AA169" s="24"/>
      <c r="AB169" s="31">
        <v>123</v>
      </c>
      <c r="AC169" s="22">
        <v>138</v>
      </c>
      <c r="AD169" s="22">
        <v>132</v>
      </c>
      <c r="AE169" s="22">
        <v>126</v>
      </c>
      <c r="AF169" s="22">
        <v>121</v>
      </c>
      <c r="AG169" s="22">
        <v>118</v>
      </c>
      <c r="AH169" s="22">
        <v>115</v>
      </c>
      <c r="AI169" s="22">
        <v>111</v>
      </c>
      <c r="AJ169" s="22">
        <v>111</v>
      </c>
      <c r="AK169" s="22">
        <v>111</v>
      </c>
      <c r="AL169" s="22">
        <v>111</v>
      </c>
      <c r="AM169" s="22">
        <v>112</v>
      </c>
      <c r="AN169" s="22">
        <v>114</v>
      </c>
      <c r="AO169" s="22">
        <v>115</v>
      </c>
      <c r="AP169" s="23">
        <v>135</v>
      </c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4"/>
      <c r="CG169" s="24"/>
      <c r="CH169" s="24"/>
      <c r="CI169" s="24"/>
      <c r="CJ169" s="24"/>
      <c r="CK169" s="24"/>
      <c r="CL169" s="24"/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C169" s="24"/>
      <c r="DD169" s="24"/>
      <c r="DE169" s="24"/>
      <c r="DF169" s="24"/>
      <c r="DG169" s="24"/>
      <c r="DH169" s="24"/>
      <c r="DI169" s="24"/>
      <c r="DJ169" s="24"/>
      <c r="DK169" s="24"/>
      <c r="DL169" s="24"/>
      <c r="DM169" s="24"/>
      <c r="DN169" s="24"/>
      <c r="DO169" s="24"/>
      <c r="DP169" s="24"/>
      <c r="DQ169" s="24"/>
      <c r="DR169" s="24"/>
      <c r="DS169" s="24"/>
      <c r="DT169" s="24"/>
      <c r="DU169" s="24"/>
      <c r="DV169" s="24"/>
      <c r="DW169" s="24"/>
      <c r="DX169" s="24"/>
      <c r="DY169" s="24"/>
      <c r="DZ169" s="24"/>
      <c r="EA169" s="24"/>
      <c r="EB169" s="24"/>
      <c r="EC169" s="24"/>
      <c r="ED169" s="24"/>
      <c r="EE169" s="24"/>
      <c r="EF169" s="24"/>
      <c r="EG169" s="24"/>
      <c r="EH169" s="24"/>
      <c r="EI169" s="24"/>
      <c r="EJ169" s="24"/>
      <c r="EK169" s="24"/>
      <c r="EL169" s="24"/>
      <c r="EM169" s="24"/>
      <c r="EN169" s="24"/>
      <c r="EO169" s="24"/>
      <c r="EP169" s="24"/>
      <c r="EQ169" s="24"/>
      <c r="ER169" s="24"/>
      <c r="ES169" s="24"/>
      <c r="ET169" s="24"/>
      <c r="EU169" s="24"/>
      <c r="EV169" s="24"/>
      <c r="EW169" s="24"/>
      <c r="EX169" s="24"/>
      <c r="EY169" s="24"/>
      <c r="EZ169" s="24"/>
    </row>
    <row r="170" spans="27:156">
      <c r="AA170" s="24"/>
      <c r="AB170" s="31">
        <v>124</v>
      </c>
      <c r="AC170" s="22">
        <v>138</v>
      </c>
      <c r="AD170" s="22">
        <v>132</v>
      </c>
      <c r="AE170" s="22">
        <v>126</v>
      </c>
      <c r="AF170" s="22">
        <v>121</v>
      </c>
      <c r="AG170" s="22">
        <v>118</v>
      </c>
      <c r="AH170" s="22">
        <v>115</v>
      </c>
      <c r="AI170" s="22">
        <v>111</v>
      </c>
      <c r="AJ170" s="22">
        <v>111</v>
      </c>
      <c r="AK170" s="22">
        <v>111</v>
      </c>
      <c r="AL170" s="22">
        <v>111</v>
      </c>
      <c r="AM170" s="22">
        <v>112</v>
      </c>
      <c r="AN170" s="22">
        <v>114</v>
      </c>
      <c r="AO170" s="22">
        <v>115</v>
      </c>
      <c r="AP170" s="22">
        <v>136</v>
      </c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4"/>
      <c r="CF170" s="24"/>
      <c r="CG170" s="24"/>
      <c r="CH170" s="24"/>
      <c r="CI170" s="24"/>
      <c r="CJ170" s="24"/>
      <c r="CK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C170" s="24"/>
      <c r="DD170" s="24"/>
      <c r="DE170" s="24"/>
      <c r="DF170" s="24"/>
      <c r="DG170" s="24"/>
      <c r="DH170" s="24"/>
      <c r="DI170" s="24"/>
      <c r="DJ170" s="24"/>
      <c r="DK170" s="24"/>
      <c r="DL170" s="24"/>
      <c r="DM170" s="24"/>
      <c r="DN170" s="24"/>
      <c r="DO170" s="24"/>
      <c r="DP170" s="24"/>
      <c r="DQ170" s="24"/>
      <c r="DR170" s="24"/>
      <c r="DS170" s="24"/>
      <c r="DT170" s="24"/>
      <c r="DU170" s="24"/>
      <c r="DV170" s="24"/>
      <c r="DW170" s="24"/>
      <c r="DX170" s="24"/>
      <c r="DY170" s="24"/>
      <c r="DZ170" s="24"/>
      <c r="EA170" s="24"/>
      <c r="EB170" s="24"/>
      <c r="EC170" s="24"/>
      <c r="ED170" s="24"/>
      <c r="EE170" s="24"/>
      <c r="EF170" s="24"/>
      <c r="EG170" s="24"/>
      <c r="EH170" s="24"/>
      <c r="EI170" s="24"/>
      <c r="EJ170" s="24"/>
      <c r="EK170" s="24"/>
      <c r="EL170" s="24"/>
      <c r="EM170" s="24"/>
      <c r="EN170" s="24"/>
      <c r="EO170" s="24"/>
      <c r="EP170" s="24"/>
      <c r="EQ170" s="24"/>
      <c r="ER170" s="24"/>
      <c r="ES170" s="24"/>
      <c r="ET170" s="24"/>
      <c r="EU170" s="24"/>
      <c r="EV170" s="24"/>
      <c r="EW170" s="24"/>
      <c r="EX170" s="24"/>
      <c r="EY170" s="24"/>
      <c r="EZ170" s="24"/>
    </row>
    <row r="171" spans="27:156">
      <c r="AA171" s="24"/>
      <c r="AB171" s="31">
        <v>125</v>
      </c>
      <c r="AC171" s="22">
        <v>138</v>
      </c>
      <c r="AD171" s="22">
        <v>132</v>
      </c>
      <c r="AE171" s="22">
        <v>126</v>
      </c>
      <c r="AF171" s="22">
        <v>121</v>
      </c>
      <c r="AG171" s="22">
        <v>118</v>
      </c>
      <c r="AH171" s="22">
        <v>115</v>
      </c>
      <c r="AI171" s="22">
        <v>111</v>
      </c>
      <c r="AJ171" s="22">
        <v>111</v>
      </c>
      <c r="AK171" s="22">
        <v>111</v>
      </c>
      <c r="AL171" s="22">
        <v>111</v>
      </c>
      <c r="AM171" s="22">
        <v>112</v>
      </c>
      <c r="AN171" s="22">
        <v>114</v>
      </c>
      <c r="AO171" s="22">
        <v>115</v>
      </c>
      <c r="AP171" s="23">
        <v>138</v>
      </c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  <c r="DH171" s="24"/>
      <c r="DI171" s="24"/>
      <c r="DJ171" s="24"/>
      <c r="DK171" s="24"/>
      <c r="DL171" s="24"/>
      <c r="DM171" s="24"/>
      <c r="DN171" s="24"/>
      <c r="DO171" s="24"/>
      <c r="DP171" s="24"/>
      <c r="DQ171" s="24"/>
      <c r="DR171" s="24"/>
      <c r="DS171" s="24"/>
      <c r="DT171" s="24"/>
      <c r="DU171" s="24"/>
      <c r="DV171" s="24"/>
      <c r="DW171" s="24"/>
      <c r="DX171" s="24"/>
      <c r="DY171" s="24"/>
      <c r="DZ171" s="24"/>
      <c r="EA171" s="24"/>
      <c r="EB171" s="24"/>
      <c r="EC171" s="24"/>
      <c r="ED171" s="24"/>
      <c r="EE171" s="24"/>
      <c r="EF171" s="24"/>
      <c r="EG171" s="24"/>
      <c r="EH171" s="24"/>
      <c r="EI171" s="24"/>
      <c r="EJ171" s="24"/>
      <c r="EK171" s="24"/>
      <c r="EL171" s="24"/>
      <c r="EM171" s="24"/>
      <c r="EN171" s="24"/>
      <c r="EO171" s="24"/>
      <c r="EP171" s="24"/>
      <c r="EQ171" s="24"/>
      <c r="ER171" s="24"/>
      <c r="ES171" s="24"/>
      <c r="ET171" s="24"/>
      <c r="EU171" s="24"/>
      <c r="EV171" s="24"/>
      <c r="EW171" s="24"/>
      <c r="EX171" s="24"/>
      <c r="EY171" s="24"/>
      <c r="EZ171" s="24"/>
    </row>
    <row r="172" spans="27:156">
      <c r="AA172" s="24"/>
      <c r="AB172" s="31">
        <v>126</v>
      </c>
      <c r="AC172" s="22">
        <v>138</v>
      </c>
      <c r="AD172" s="22">
        <v>132</v>
      </c>
      <c r="AE172" s="22">
        <v>126</v>
      </c>
      <c r="AF172" s="22">
        <v>121</v>
      </c>
      <c r="AG172" s="22">
        <v>118</v>
      </c>
      <c r="AH172" s="22">
        <v>115</v>
      </c>
      <c r="AI172" s="22">
        <v>111</v>
      </c>
      <c r="AJ172" s="22">
        <v>111</v>
      </c>
      <c r="AK172" s="22">
        <v>111</v>
      </c>
      <c r="AL172" s="22">
        <v>111</v>
      </c>
      <c r="AM172" s="22">
        <v>112</v>
      </c>
      <c r="AN172" s="22">
        <v>114</v>
      </c>
      <c r="AO172" s="22">
        <v>115</v>
      </c>
      <c r="AP172" s="22">
        <v>139</v>
      </c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4"/>
      <c r="CA172" s="24"/>
      <c r="CB172" s="24"/>
      <c r="CC172" s="24"/>
      <c r="CD172" s="24"/>
      <c r="CE172" s="24"/>
      <c r="CF172" s="24"/>
      <c r="CG172" s="24"/>
      <c r="CH172" s="24"/>
      <c r="CI172" s="24"/>
      <c r="CJ172" s="24"/>
      <c r="CK172" s="24"/>
      <c r="CL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C172" s="24"/>
      <c r="DD172" s="24"/>
      <c r="DE172" s="24"/>
      <c r="DF172" s="24"/>
      <c r="DG172" s="24"/>
      <c r="DH172" s="24"/>
      <c r="DI172" s="24"/>
      <c r="DJ172" s="24"/>
      <c r="DK172" s="24"/>
      <c r="DL172" s="24"/>
      <c r="DM172" s="24"/>
      <c r="DN172" s="24"/>
      <c r="DO172" s="24"/>
      <c r="DP172" s="24"/>
      <c r="DQ172" s="24"/>
      <c r="DR172" s="24"/>
      <c r="DS172" s="24"/>
      <c r="DT172" s="24"/>
      <c r="DU172" s="24"/>
      <c r="DV172" s="24"/>
      <c r="DW172" s="24"/>
      <c r="DX172" s="24"/>
      <c r="DY172" s="24"/>
      <c r="DZ172" s="24"/>
      <c r="EA172" s="24"/>
      <c r="EB172" s="24"/>
      <c r="EC172" s="24"/>
      <c r="ED172" s="24"/>
      <c r="EE172" s="24"/>
      <c r="EF172" s="24"/>
      <c r="EG172" s="24"/>
      <c r="EH172" s="24"/>
      <c r="EI172" s="24"/>
      <c r="EJ172" s="24"/>
      <c r="EK172" s="24"/>
      <c r="EL172" s="24"/>
      <c r="EM172" s="24"/>
      <c r="EN172" s="24"/>
      <c r="EO172" s="24"/>
      <c r="EP172" s="24"/>
      <c r="EQ172" s="24"/>
      <c r="ER172" s="24"/>
      <c r="ES172" s="24"/>
      <c r="ET172" s="24"/>
      <c r="EU172" s="24"/>
      <c r="EV172" s="24"/>
      <c r="EW172" s="24"/>
      <c r="EX172" s="24"/>
      <c r="EY172" s="24"/>
      <c r="EZ172" s="24"/>
    </row>
    <row r="173" spans="27:156">
      <c r="AA173" s="24"/>
      <c r="AB173" s="31">
        <v>127</v>
      </c>
      <c r="AC173" s="22">
        <v>138</v>
      </c>
      <c r="AD173" s="22">
        <v>132</v>
      </c>
      <c r="AE173" s="22">
        <v>126</v>
      </c>
      <c r="AF173" s="22">
        <v>121</v>
      </c>
      <c r="AG173" s="22">
        <v>118</v>
      </c>
      <c r="AH173" s="22">
        <v>115</v>
      </c>
      <c r="AI173" s="22">
        <v>111</v>
      </c>
      <c r="AJ173" s="22">
        <v>111</v>
      </c>
      <c r="AK173" s="22">
        <v>111</v>
      </c>
      <c r="AL173" s="22">
        <v>111</v>
      </c>
      <c r="AM173" s="22">
        <v>112</v>
      </c>
      <c r="AN173" s="22">
        <v>114</v>
      </c>
      <c r="AO173" s="22">
        <v>115</v>
      </c>
      <c r="AP173" s="23">
        <v>141</v>
      </c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B173" s="24"/>
      <c r="CC173" s="24"/>
      <c r="CD173" s="24"/>
      <c r="CE173" s="24"/>
      <c r="CF173" s="24"/>
      <c r="CG173" s="24"/>
      <c r="CH173" s="24"/>
      <c r="CI173" s="24"/>
      <c r="CJ173" s="24"/>
      <c r="CK173" s="24"/>
      <c r="CL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C173" s="24"/>
      <c r="DD173" s="24"/>
      <c r="DE173" s="24"/>
      <c r="DF173" s="24"/>
      <c r="DG173" s="24"/>
      <c r="DH173" s="24"/>
      <c r="DI173" s="24"/>
      <c r="DJ173" s="24"/>
      <c r="DK173" s="24"/>
      <c r="DL173" s="24"/>
      <c r="DM173" s="24"/>
      <c r="DN173" s="24"/>
      <c r="DO173" s="24"/>
      <c r="DP173" s="24"/>
      <c r="DQ173" s="24"/>
      <c r="DR173" s="24"/>
      <c r="DS173" s="24"/>
      <c r="DT173" s="24"/>
      <c r="DU173" s="24"/>
      <c r="DV173" s="24"/>
      <c r="DW173" s="24"/>
      <c r="DX173" s="24"/>
      <c r="DY173" s="24"/>
      <c r="DZ173" s="24"/>
      <c r="EA173" s="24"/>
      <c r="EB173" s="24"/>
      <c r="EC173" s="24"/>
      <c r="ED173" s="24"/>
      <c r="EE173" s="24"/>
      <c r="EF173" s="24"/>
      <c r="EG173" s="24"/>
      <c r="EH173" s="24"/>
      <c r="EI173" s="24"/>
      <c r="EJ173" s="24"/>
      <c r="EK173" s="24"/>
      <c r="EL173" s="24"/>
      <c r="EM173" s="24"/>
      <c r="EN173" s="24"/>
      <c r="EO173" s="24"/>
      <c r="EP173" s="24"/>
      <c r="EQ173" s="24"/>
      <c r="ER173" s="24"/>
      <c r="ES173" s="24"/>
      <c r="ET173" s="24"/>
      <c r="EU173" s="24"/>
      <c r="EV173" s="24"/>
      <c r="EW173" s="24"/>
      <c r="EX173" s="24"/>
      <c r="EY173" s="24"/>
      <c r="EZ173" s="24"/>
    </row>
    <row r="174" spans="27:156">
      <c r="AA174" s="24"/>
      <c r="AB174" s="31">
        <v>128</v>
      </c>
      <c r="AC174" s="22">
        <v>138</v>
      </c>
      <c r="AD174" s="22">
        <v>132</v>
      </c>
      <c r="AE174" s="22">
        <v>126</v>
      </c>
      <c r="AF174" s="22">
        <v>121</v>
      </c>
      <c r="AG174" s="22">
        <v>118</v>
      </c>
      <c r="AH174" s="22">
        <v>115</v>
      </c>
      <c r="AI174" s="22">
        <v>111</v>
      </c>
      <c r="AJ174" s="22">
        <v>111</v>
      </c>
      <c r="AK174" s="22">
        <v>111</v>
      </c>
      <c r="AL174" s="22">
        <v>111</v>
      </c>
      <c r="AM174" s="22">
        <v>112</v>
      </c>
      <c r="AN174" s="22">
        <v>114</v>
      </c>
      <c r="AO174" s="22">
        <v>115</v>
      </c>
      <c r="AP174" s="22">
        <v>142</v>
      </c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4"/>
      <c r="CF174" s="24"/>
      <c r="CG174" s="24"/>
      <c r="CH174" s="24"/>
      <c r="CI174" s="24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C174" s="24"/>
      <c r="DD174" s="24"/>
      <c r="DE174" s="24"/>
      <c r="DF174" s="24"/>
      <c r="DG174" s="24"/>
      <c r="DH174" s="24"/>
      <c r="DI174" s="24"/>
      <c r="DJ174" s="24"/>
      <c r="DK174" s="24"/>
      <c r="DL174" s="24"/>
      <c r="DM174" s="24"/>
      <c r="DN174" s="24"/>
      <c r="DO174" s="24"/>
      <c r="DP174" s="24"/>
      <c r="DQ174" s="24"/>
      <c r="DR174" s="24"/>
      <c r="DS174" s="24"/>
      <c r="DT174" s="24"/>
      <c r="DU174" s="24"/>
      <c r="DV174" s="24"/>
      <c r="DW174" s="24"/>
      <c r="DX174" s="24"/>
      <c r="DY174" s="24"/>
      <c r="DZ174" s="24"/>
      <c r="EA174" s="24"/>
      <c r="EB174" s="24"/>
      <c r="EC174" s="24"/>
      <c r="ED174" s="24"/>
      <c r="EE174" s="24"/>
      <c r="EF174" s="24"/>
      <c r="EG174" s="24"/>
      <c r="EH174" s="24"/>
      <c r="EI174" s="24"/>
      <c r="EJ174" s="24"/>
      <c r="EK174" s="24"/>
      <c r="EL174" s="24"/>
      <c r="EM174" s="24"/>
      <c r="EN174" s="24"/>
      <c r="EO174" s="24"/>
      <c r="EP174" s="24"/>
      <c r="EQ174" s="24"/>
      <c r="ER174" s="24"/>
      <c r="ES174" s="24"/>
      <c r="ET174" s="24"/>
      <c r="EU174" s="24"/>
      <c r="EV174" s="24"/>
      <c r="EW174" s="24"/>
      <c r="EX174" s="24"/>
      <c r="EY174" s="24"/>
      <c r="EZ174" s="24"/>
    </row>
    <row r="175" spans="27:156">
      <c r="AA175" s="24"/>
      <c r="AB175" s="31">
        <v>129</v>
      </c>
      <c r="AC175" s="22">
        <v>138</v>
      </c>
      <c r="AD175" s="22">
        <v>132</v>
      </c>
      <c r="AE175" s="22">
        <v>126</v>
      </c>
      <c r="AF175" s="22">
        <v>121</v>
      </c>
      <c r="AG175" s="22">
        <v>118</v>
      </c>
      <c r="AH175" s="22">
        <v>115</v>
      </c>
      <c r="AI175" s="22">
        <v>111</v>
      </c>
      <c r="AJ175" s="22">
        <v>111</v>
      </c>
      <c r="AK175" s="22">
        <v>111</v>
      </c>
      <c r="AL175" s="22">
        <v>111</v>
      </c>
      <c r="AM175" s="22">
        <v>112</v>
      </c>
      <c r="AN175" s="22">
        <v>114</v>
      </c>
      <c r="AO175" s="22">
        <v>115</v>
      </c>
      <c r="AP175" s="23">
        <v>144</v>
      </c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4"/>
      <c r="CA175" s="24"/>
      <c r="CB175" s="24"/>
      <c r="CC175" s="24"/>
      <c r="CD175" s="24"/>
      <c r="CE175" s="24"/>
      <c r="CF175" s="24"/>
      <c r="CG175" s="24"/>
      <c r="CH175" s="24"/>
      <c r="CI175" s="24"/>
      <c r="CJ175" s="24"/>
      <c r="CK175" s="24"/>
      <c r="CL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C175" s="24"/>
      <c r="DD175" s="24"/>
      <c r="DE175" s="24"/>
      <c r="DF175" s="24"/>
      <c r="DG175" s="24"/>
      <c r="DH175" s="24"/>
      <c r="DI175" s="24"/>
      <c r="DJ175" s="24"/>
      <c r="DK175" s="24"/>
      <c r="DL175" s="24"/>
      <c r="DM175" s="24"/>
      <c r="DN175" s="24"/>
      <c r="DO175" s="24"/>
      <c r="DP175" s="24"/>
      <c r="DQ175" s="24"/>
      <c r="DR175" s="24"/>
      <c r="DS175" s="24"/>
      <c r="DT175" s="24"/>
      <c r="DU175" s="24"/>
      <c r="DV175" s="24"/>
      <c r="DW175" s="24"/>
      <c r="DX175" s="24"/>
      <c r="DY175" s="24"/>
      <c r="DZ175" s="24"/>
      <c r="EA175" s="24"/>
      <c r="EB175" s="24"/>
      <c r="EC175" s="24"/>
      <c r="ED175" s="24"/>
      <c r="EE175" s="24"/>
      <c r="EF175" s="24"/>
      <c r="EG175" s="24"/>
      <c r="EH175" s="24"/>
      <c r="EI175" s="24"/>
      <c r="EJ175" s="24"/>
      <c r="EK175" s="24"/>
      <c r="EL175" s="24"/>
      <c r="EM175" s="24"/>
      <c r="EN175" s="24"/>
      <c r="EO175" s="24"/>
      <c r="EP175" s="24"/>
      <c r="EQ175" s="24"/>
      <c r="ER175" s="24"/>
      <c r="ES175" s="24"/>
      <c r="ET175" s="24"/>
      <c r="EU175" s="24"/>
      <c r="EV175" s="24"/>
      <c r="EW175" s="24"/>
      <c r="EX175" s="24"/>
      <c r="EY175" s="24"/>
      <c r="EZ175" s="24"/>
    </row>
    <row r="176" spans="27:156">
      <c r="AA176" s="24"/>
      <c r="AB176" s="31">
        <v>130</v>
      </c>
      <c r="AC176" s="22">
        <v>138</v>
      </c>
      <c r="AD176" s="22">
        <v>132</v>
      </c>
      <c r="AE176" s="22">
        <v>126</v>
      </c>
      <c r="AF176" s="22">
        <v>121</v>
      </c>
      <c r="AG176" s="22">
        <v>118</v>
      </c>
      <c r="AH176" s="22">
        <v>115</v>
      </c>
      <c r="AI176" s="22">
        <v>111</v>
      </c>
      <c r="AJ176" s="22">
        <v>111</v>
      </c>
      <c r="AK176" s="22">
        <v>111</v>
      </c>
      <c r="AL176" s="22">
        <v>111</v>
      </c>
      <c r="AM176" s="22">
        <v>112</v>
      </c>
      <c r="AN176" s="22">
        <v>114</v>
      </c>
      <c r="AO176" s="22">
        <v>115</v>
      </c>
      <c r="AP176" s="22">
        <v>145</v>
      </c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/>
      <c r="CB176" s="24"/>
      <c r="CC176" s="24"/>
      <c r="CD176" s="24"/>
      <c r="CE176" s="24"/>
      <c r="CF176" s="24"/>
      <c r="CG176" s="24"/>
      <c r="CH176" s="24"/>
      <c r="CI176" s="24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  <c r="DE176" s="24"/>
      <c r="DF176" s="24"/>
      <c r="DG176" s="24"/>
      <c r="DH176" s="24"/>
      <c r="DI176" s="24"/>
      <c r="DJ176" s="24"/>
      <c r="DK176" s="24"/>
      <c r="DL176" s="24"/>
      <c r="DM176" s="24"/>
      <c r="DN176" s="24"/>
      <c r="DO176" s="24"/>
      <c r="DP176" s="24"/>
      <c r="DQ176" s="24"/>
      <c r="DR176" s="24"/>
      <c r="DS176" s="24"/>
      <c r="DT176" s="24"/>
      <c r="DU176" s="24"/>
      <c r="DV176" s="24"/>
      <c r="DW176" s="24"/>
      <c r="DX176" s="24"/>
      <c r="DY176" s="24"/>
      <c r="DZ176" s="24"/>
      <c r="EA176" s="24"/>
      <c r="EB176" s="24"/>
      <c r="EC176" s="24"/>
      <c r="ED176" s="24"/>
      <c r="EE176" s="24"/>
      <c r="EF176" s="24"/>
      <c r="EG176" s="24"/>
      <c r="EH176" s="24"/>
      <c r="EI176" s="24"/>
      <c r="EJ176" s="24"/>
      <c r="EK176" s="24"/>
      <c r="EL176" s="24"/>
      <c r="EM176" s="24"/>
      <c r="EN176" s="24"/>
      <c r="EO176" s="24"/>
      <c r="EP176" s="24"/>
      <c r="EQ176" s="24"/>
      <c r="ER176" s="24"/>
      <c r="ES176" s="24"/>
      <c r="ET176" s="24"/>
      <c r="EU176" s="24"/>
      <c r="EV176" s="24"/>
      <c r="EW176" s="24"/>
      <c r="EX176" s="24"/>
      <c r="EY176" s="24"/>
      <c r="EZ176" s="24"/>
    </row>
    <row r="177" spans="27:156">
      <c r="AA177" s="24"/>
      <c r="AB177" s="31">
        <v>131</v>
      </c>
      <c r="AC177" s="22">
        <v>144</v>
      </c>
      <c r="AD177" s="22">
        <v>139</v>
      </c>
      <c r="AE177" s="22">
        <v>131</v>
      </c>
      <c r="AF177" s="22">
        <v>126</v>
      </c>
      <c r="AG177" s="22">
        <v>122</v>
      </c>
      <c r="AH177" s="22">
        <v>118</v>
      </c>
      <c r="AI177" s="22">
        <v>115</v>
      </c>
      <c r="AJ177" s="22">
        <v>115</v>
      </c>
      <c r="AK177" s="22">
        <v>115</v>
      </c>
      <c r="AL177" s="22">
        <v>114</v>
      </c>
      <c r="AM177" s="22">
        <v>115</v>
      </c>
      <c r="AN177" s="22">
        <v>118</v>
      </c>
      <c r="AO177" s="22">
        <v>119</v>
      </c>
      <c r="AP177" s="23">
        <v>147</v>
      </c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  <c r="CD177" s="24"/>
      <c r="CE177" s="24"/>
      <c r="CF177" s="24"/>
      <c r="CG177" s="24"/>
      <c r="CH177" s="24"/>
      <c r="CI177" s="24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24"/>
      <c r="DF177" s="24"/>
      <c r="DG177" s="24"/>
      <c r="DH177" s="24"/>
      <c r="DI177" s="24"/>
      <c r="DJ177" s="24"/>
      <c r="DK177" s="24"/>
      <c r="DL177" s="24"/>
      <c r="DM177" s="24"/>
      <c r="DN177" s="24"/>
      <c r="DO177" s="24"/>
      <c r="DP177" s="24"/>
      <c r="DQ177" s="24"/>
      <c r="DR177" s="24"/>
      <c r="DS177" s="24"/>
      <c r="DT177" s="24"/>
      <c r="DU177" s="24"/>
      <c r="DV177" s="24"/>
      <c r="DW177" s="24"/>
      <c r="DX177" s="24"/>
      <c r="DY177" s="24"/>
      <c r="DZ177" s="24"/>
      <c r="EA177" s="24"/>
      <c r="EB177" s="24"/>
      <c r="EC177" s="24"/>
      <c r="ED177" s="24"/>
      <c r="EE177" s="24"/>
      <c r="EF177" s="24"/>
      <c r="EG177" s="24"/>
      <c r="EH177" s="24"/>
      <c r="EI177" s="24"/>
      <c r="EJ177" s="24"/>
      <c r="EK177" s="24"/>
      <c r="EL177" s="24"/>
      <c r="EM177" s="24"/>
      <c r="EN177" s="24"/>
      <c r="EO177" s="24"/>
      <c r="EP177" s="24"/>
      <c r="EQ177" s="24"/>
      <c r="ER177" s="24"/>
      <c r="ES177" s="24"/>
      <c r="ET177" s="24"/>
      <c r="EU177" s="24"/>
      <c r="EV177" s="24"/>
      <c r="EW177" s="24"/>
      <c r="EX177" s="24"/>
      <c r="EY177" s="24"/>
      <c r="EZ177" s="24"/>
    </row>
    <row r="178" spans="27:156">
      <c r="AA178" s="24"/>
      <c r="AB178" s="31">
        <v>132</v>
      </c>
      <c r="AC178" s="22">
        <v>144</v>
      </c>
      <c r="AD178" s="22">
        <v>139</v>
      </c>
      <c r="AE178" s="22">
        <v>131</v>
      </c>
      <c r="AF178" s="22">
        <v>126</v>
      </c>
      <c r="AG178" s="22">
        <v>122</v>
      </c>
      <c r="AH178" s="22">
        <v>118</v>
      </c>
      <c r="AI178" s="22">
        <v>115</v>
      </c>
      <c r="AJ178" s="22">
        <v>115</v>
      </c>
      <c r="AK178" s="22">
        <v>115</v>
      </c>
      <c r="AL178" s="22">
        <v>114</v>
      </c>
      <c r="AM178" s="22">
        <v>115</v>
      </c>
      <c r="AN178" s="22">
        <v>118</v>
      </c>
      <c r="AO178" s="22">
        <v>119</v>
      </c>
      <c r="AP178" s="22">
        <v>148</v>
      </c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  <c r="DH178" s="24"/>
      <c r="DI178" s="24"/>
      <c r="DJ178" s="24"/>
      <c r="DK178" s="24"/>
      <c r="DL178" s="24"/>
      <c r="DM178" s="24"/>
      <c r="DN178" s="24"/>
      <c r="DO178" s="24"/>
      <c r="DP178" s="24"/>
      <c r="DQ178" s="24"/>
      <c r="DR178" s="24"/>
      <c r="DS178" s="24"/>
      <c r="DT178" s="24"/>
      <c r="DU178" s="24"/>
      <c r="DV178" s="24"/>
      <c r="DW178" s="24"/>
      <c r="DX178" s="24"/>
      <c r="DY178" s="24"/>
      <c r="DZ178" s="24"/>
      <c r="EA178" s="24"/>
      <c r="EB178" s="24"/>
      <c r="EC178" s="24"/>
      <c r="ED178" s="24"/>
      <c r="EE178" s="24"/>
      <c r="EF178" s="24"/>
      <c r="EG178" s="24"/>
      <c r="EH178" s="24"/>
      <c r="EI178" s="24"/>
      <c r="EJ178" s="24"/>
      <c r="EK178" s="24"/>
      <c r="EL178" s="24"/>
      <c r="EM178" s="24"/>
      <c r="EN178" s="24"/>
      <c r="EO178" s="24"/>
      <c r="EP178" s="24"/>
      <c r="EQ178" s="24"/>
      <c r="ER178" s="24"/>
      <c r="ES178" s="24"/>
      <c r="ET178" s="24"/>
      <c r="EU178" s="24"/>
      <c r="EV178" s="24"/>
      <c r="EW178" s="24"/>
      <c r="EX178" s="24"/>
      <c r="EY178" s="24"/>
      <c r="EZ178" s="24"/>
    </row>
    <row r="179" spans="27:156">
      <c r="AA179" s="24"/>
      <c r="AB179" s="31">
        <v>133</v>
      </c>
      <c r="AC179" s="22">
        <v>144</v>
      </c>
      <c r="AD179" s="22">
        <v>139</v>
      </c>
      <c r="AE179" s="22">
        <v>131</v>
      </c>
      <c r="AF179" s="22">
        <v>126</v>
      </c>
      <c r="AG179" s="22">
        <v>122</v>
      </c>
      <c r="AH179" s="22">
        <v>118</v>
      </c>
      <c r="AI179" s="22">
        <v>115</v>
      </c>
      <c r="AJ179" s="22">
        <v>115</v>
      </c>
      <c r="AK179" s="22">
        <v>115</v>
      </c>
      <c r="AL179" s="22">
        <v>114</v>
      </c>
      <c r="AM179" s="22">
        <v>115</v>
      </c>
      <c r="AN179" s="22">
        <v>118</v>
      </c>
      <c r="AO179" s="22">
        <v>119</v>
      </c>
      <c r="AP179" s="23">
        <v>150</v>
      </c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B179" s="24"/>
      <c r="CC179" s="24"/>
      <c r="CD179" s="24"/>
      <c r="CE179" s="24"/>
      <c r="CF179" s="24"/>
      <c r="CG179" s="24"/>
      <c r="CH179" s="24"/>
      <c r="CI179" s="24"/>
      <c r="CJ179" s="24"/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C179" s="24"/>
      <c r="DD179" s="24"/>
      <c r="DE179" s="24"/>
      <c r="DF179" s="24"/>
      <c r="DG179" s="24"/>
      <c r="DH179" s="24"/>
      <c r="DI179" s="24"/>
      <c r="DJ179" s="24"/>
      <c r="DK179" s="24"/>
      <c r="DL179" s="24"/>
      <c r="DM179" s="24"/>
      <c r="DN179" s="24"/>
      <c r="DO179" s="24"/>
      <c r="DP179" s="24"/>
      <c r="DQ179" s="24"/>
      <c r="DR179" s="24"/>
      <c r="DS179" s="24"/>
      <c r="DT179" s="24"/>
      <c r="DU179" s="24"/>
      <c r="DV179" s="24"/>
      <c r="DW179" s="24"/>
      <c r="DX179" s="24"/>
      <c r="DY179" s="24"/>
      <c r="DZ179" s="24"/>
      <c r="EA179" s="24"/>
      <c r="EB179" s="24"/>
      <c r="EC179" s="24"/>
      <c r="ED179" s="24"/>
      <c r="EE179" s="24"/>
      <c r="EF179" s="24"/>
      <c r="EG179" s="24"/>
      <c r="EH179" s="24"/>
      <c r="EI179" s="24"/>
      <c r="EJ179" s="24"/>
      <c r="EK179" s="24"/>
      <c r="EL179" s="24"/>
      <c r="EM179" s="24"/>
      <c r="EN179" s="24"/>
      <c r="EO179" s="24"/>
      <c r="EP179" s="24"/>
      <c r="EQ179" s="24"/>
      <c r="ER179" s="24"/>
      <c r="ES179" s="24"/>
      <c r="ET179" s="24"/>
      <c r="EU179" s="24"/>
      <c r="EV179" s="24"/>
      <c r="EW179" s="24"/>
      <c r="EX179" s="24"/>
      <c r="EY179" s="24"/>
      <c r="EZ179" s="24"/>
    </row>
    <row r="180" spans="27:156">
      <c r="AA180" s="24"/>
      <c r="AB180" s="31">
        <v>134</v>
      </c>
      <c r="AC180" s="22">
        <v>144</v>
      </c>
      <c r="AD180" s="22">
        <v>139</v>
      </c>
      <c r="AE180" s="22">
        <v>131</v>
      </c>
      <c r="AF180" s="22">
        <v>126</v>
      </c>
      <c r="AG180" s="22">
        <v>122</v>
      </c>
      <c r="AH180" s="22">
        <v>118</v>
      </c>
      <c r="AI180" s="22">
        <v>115</v>
      </c>
      <c r="AJ180" s="22">
        <v>115</v>
      </c>
      <c r="AK180" s="22">
        <v>115</v>
      </c>
      <c r="AL180" s="22">
        <v>114</v>
      </c>
      <c r="AM180" s="22">
        <v>115</v>
      </c>
      <c r="AN180" s="22">
        <v>118</v>
      </c>
      <c r="AO180" s="22">
        <v>119</v>
      </c>
      <c r="AP180" s="22">
        <v>151</v>
      </c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/>
      <c r="CC180" s="24"/>
      <c r="CD180" s="24"/>
      <c r="CE180" s="24"/>
      <c r="CF180" s="24"/>
      <c r="CG180" s="24"/>
      <c r="CH180" s="24"/>
      <c r="CI180" s="24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C180" s="24"/>
      <c r="DD180" s="24"/>
      <c r="DE180" s="24"/>
      <c r="DF180" s="24"/>
      <c r="DG180" s="24"/>
      <c r="DH180" s="24"/>
      <c r="DI180" s="24"/>
      <c r="DJ180" s="24"/>
      <c r="DK180" s="24"/>
      <c r="DL180" s="24"/>
      <c r="DM180" s="24"/>
      <c r="DN180" s="24"/>
      <c r="DO180" s="24"/>
      <c r="DP180" s="24"/>
      <c r="DQ180" s="24"/>
      <c r="DR180" s="24"/>
      <c r="DS180" s="24"/>
      <c r="DT180" s="24"/>
      <c r="DU180" s="24"/>
      <c r="DV180" s="24"/>
      <c r="DW180" s="24"/>
      <c r="DX180" s="24"/>
      <c r="DY180" s="24"/>
      <c r="DZ180" s="24"/>
      <c r="EA180" s="24"/>
      <c r="EB180" s="24"/>
      <c r="EC180" s="24"/>
      <c r="ED180" s="24"/>
      <c r="EE180" s="24"/>
      <c r="EF180" s="24"/>
      <c r="EG180" s="24"/>
      <c r="EH180" s="24"/>
      <c r="EI180" s="24"/>
      <c r="EJ180" s="24"/>
      <c r="EK180" s="24"/>
      <c r="EL180" s="24"/>
      <c r="EM180" s="24"/>
      <c r="EN180" s="24"/>
      <c r="EO180" s="24"/>
      <c r="EP180" s="24"/>
      <c r="EQ180" s="24"/>
      <c r="ER180" s="24"/>
      <c r="ES180" s="24"/>
      <c r="ET180" s="24"/>
      <c r="EU180" s="24"/>
      <c r="EV180" s="24"/>
      <c r="EW180" s="24"/>
      <c r="EX180" s="24"/>
      <c r="EY180" s="24"/>
      <c r="EZ180" s="24"/>
    </row>
    <row r="181" spans="27:156">
      <c r="AA181" s="24"/>
      <c r="AB181" s="31">
        <v>135</v>
      </c>
      <c r="AC181" s="22">
        <v>144</v>
      </c>
      <c r="AD181" s="22">
        <v>139</v>
      </c>
      <c r="AE181" s="22">
        <v>131</v>
      </c>
      <c r="AF181" s="22">
        <v>126</v>
      </c>
      <c r="AG181" s="22">
        <v>122</v>
      </c>
      <c r="AH181" s="22">
        <v>118</v>
      </c>
      <c r="AI181" s="22">
        <v>115</v>
      </c>
      <c r="AJ181" s="22">
        <v>115</v>
      </c>
      <c r="AK181" s="22">
        <v>115</v>
      </c>
      <c r="AL181" s="22">
        <v>114</v>
      </c>
      <c r="AM181" s="22">
        <v>115</v>
      </c>
      <c r="AN181" s="22">
        <v>118</v>
      </c>
      <c r="AO181" s="22">
        <v>119</v>
      </c>
      <c r="AP181" s="23">
        <v>153</v>
      </c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B181" s="24"/>
      <c r="CC181" s="24"/>
      <c r="CD181" s="24"/>
      <c r="CE181" s="24"/>
      <c r="CF181" s="24"/>
      <c r="CG181" s="24"/>
      <c r="CH181" s="24"/>
      <c r="CI181" s="24"/>
      <c r="CJ181" s="24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C181" s="24"/>
      <c r="DD181" s="24"/>
      <c r="DE181" s="24"/>
      <c r="DF181" s="24"/>
      <c r="DG181" s="24"/>
      <c r="DH181" s="24"/>
      <c r="DI181" s="24"/>
      <c r="DJ181" s="24"/>
      <c r="DK181" s="24"/>
      <c r="DL181" s="24"/>
      <c r="DM181" s="24"/>
      <c r="DN181" s="24"/>
      <c r="DO181" s="24"/>
      <c r="DP181" s="24"/>
      <c r="DQ181" s="24"/>
      <c r="DR181" s="24"/>
      <c r="DS181" s="24"/>
      <c r="DT181" s="24"/>
      <c r="DU181" s="24"/>
      <c r="DV181" s="24"/>
      <c r="DW181" s="24"/>
      <c r="DX181" s="24"/>
      <c r="DY181" s="24"/>
      <c r="DZ181" s="24"/>
      <c r="EA181" s="24"/>
      <c r="EB181" s="24"/>
      <c r="EC181" s="24"/>
      <c r="ED181" s="24"/>
      <c r="EE181" s="24"/>
      <c r="EF181" s="24"/>
      <c r="EG181" s="24"/>
      <c r="EH181" s="24"/>
      <c r="EI181" s="24"/>
      <c r="EJ181" s="24"/>
      <c r="EK181" s="24"/>
      <c r="EL181" s="24"/>
      <c r="EM181" s="24"/>
      <c r="EN181" s="24"/>
      <c r="EO181" s="24"/>
      <c r="EP181" s="24"/>
      <c r="EQ181" s="24"/>
      <c r="ER181" s="24"/>
      <c r="ES181" s="24"/>
      <c r="ET181" s="24"/>
      <c r="EU181" s="24"/>
      <c r="EV181" s="24"/>
      <c r="EW181" s="24"/>
      <c r="EX181" s="24"/>
      <c r="EY181" s="24"/>
      <c r="EZ181" s="24"/>
    </row>
    <row r="182" spans="27:156">
      <c r="AA182" s="24"/>
      <c r="AB182" s="31">
        <v>136</v>
      </c>
      <c r="AC182" s="22">
        <v>144</v>
      </c>
      <c r="AD182" s="22">
        <v>139</v>
      </c>
      <c r="AE182" s="22">
        <v>131</v>
      </c>
      <c r="AF182" s="22">
        <v>126</v>
      </c>
      <c r="AG182" s="22">
        <v>122</v>
      </c>
      <c r="AH182" s="22">
        <v>118</v>
      </c>
      <c r="AI182" s="22">
        <v>115</v>
      </c>
      <c r="AJ182" s="22">
        <v>115</v>
      </c>
      <c r="AK182" s="22">
        <v>115</v>
      </c>
      <c r="AL182" s="22">
        <v>114</v>
      </c>
      <c r="AM182" s="22">
        <v>115</v>
      </c>
      <c r="AN182" s="22">
        <v>118</v>
      </c>
      <c r="AO182" s="22">
        <v>119</v>
      </c>
      <c r="AP182" s="22">
        <v>154</v>
      </c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H182" s="24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24"/>
      <c r="DF182" s="24"/>
      <c r="DG182" s="24"/>
      <c r="DH182" s="24"/>
      <c r="DI182" s="24"/>
      <c r="DJ182" s="24"/>
      <c r="DK182" s="24"/>
      <c r="DL182" s="24"/>
      <c r="DM182" s="24"/>
      <c r="DN182" s="24"/>
      <c r="DO182" s="24"/>
      <c r="DP182" s="24"/>
      <c r="DQ182" s="24"/>
      <c r="DR182" s="24"/>
      <c r="DS182" s="24"/>
      <c r="DT182" s="24"/>
      <c r="DU182" s="24"/>
      <c r="DV182" s="24"/>
      <c r="DW182" s="24"/>
      <c r="DX182" s="24"/>
      <c r="DY182" s="24"/>
      <c r="DZ182" s="24"/>
      <c r="EA182" s="24"/>
      <c r="EB182" s="24"/>
      <c r="EC182" s="24"/>
      <c r="ED182" s="24"/>
      <c r="EE182" s="24"/>
      <c r="EF182" s="24"/>
      <c r="EG182" s="24"/>
      <c r="EH182" s="24"/>
      <c r="EI182" s="24"/>
      <c r="EJ182" s="24"/>
      <c r="EK182" s="24"/>
      <c r="EL182" s="24"/>
      <c r="EM182" s="24"/>
      <c r="EN182" s="24"/>
      <c r="EO182" s="24"/>
      <c r="EP182" s="24"/>
      <c r="EQ182" s="24"/>
      <c r="ER182" s="24"/>
      <c r="ES182" s="24"/>
      <c r="ET182" s="24"/>
      <c r="EU182" s="24"/>
      <c r="EV182" s="24"/>
      <c r="EW182" s="24"/>
      <c r="EX182" s="24"/>
      <c r="EY182" s="24"/>
      <c r="EZ182" s="24"/>
    </row>
    <row r="183" spans="27:156">
      <c r="AA183" s="24"/>
      <c r="AB183" s="31">
        <v>137</v>
      </c>
      <c r="AC183" s="22">
        <v>144</v>
      </c>
      <c r="AD183" s="22">
        <v>139</v>
      </c>
      <c r="AE183" s="22">
        <v>131</v>
      </c>
      <c r="AF183" s="22">
        <v>126</v>
      </c>
      <c r="AG183" s="22">
        <v>122</v>
      </c>
      <c r="AH183" s="22">
        <v>118</v>
      </c>
      <c r="AI183" s="22">
        <v>115</v>
      </c>
      <c r="AJ183" s="22">
        <v>115</v>
      </c>
      <c r="AK183" s="22">
        <v>115</v>
      </c>
      <c r="AL183" s="22">
        <v>114</v>
      </c>
      <c r="AM183" s="22">
        <v>115</v>
      </c>
      <c r="AN183" s="22">
        <v>118</v>
      </c>
      <c r="AO183" s="22">
        <v>119</v>
      </c>
      <c r="AP183" s="23">
        <v>156</v>
      </c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4"/>
      <c r="CG183" s="24"/>
      <c r="CH183" s="24"/>
      <c r="CI183" s="24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C183" s="24"/>
      <c r="DD183" s="24"/>
      <c r="DE183" s="24"/>
      <c r="DF183" s="24"/>
      <c r="DG183" s="24"/>
      <c r="DH183" s="24"/>
      <c r="DI183" s="24"/>
      <c r="DJ183" s="24"/>
      <c r="DK183" s="24"/>
      <c r="DL183" s="24"/>
      <c r="DM183" s="24"/>
      <c r="DN183" s="24"/>
      <c r="DO183" s="24"/>
      <c r="DP183" s="24"/>
      <c r="DQ183" s="24"/>
      <c r="DR183" s="24"/>
      <c r="DS183" s="24"/>
      <c r="DT183" s="24"/>
      <c r="DU183" s="24"/>
      <c r="DV183" s="24"/>
      <c r="DW183" s="24"/>
      <c r="DX183" s="24"/>
      <c r="DY183" s="24"/>
      <c r="DZ183" s="24"/>
      <c r="EA183" s="24"/>
      <c r="EB183" s="24"/>
      <c r="EC183" s="24"/>
      <c r="ED183" s="24"/>
      <c r="EE183" s="24"/>
      <c r="EF183" s="24"/>
      <c r="EG183" s="24"/>
      <c r="EH183" s="24"/>
      <c r="EI183" s="24"/>
      <c r="EJ183" s="24"/>
      <c r="EK183" s="24"/>
      <c r="EL183" s="24"/>
      <c r="EM183" s="24"/>
      <c r="EN183" s="24"/>
      <c r="EO183" s="24"/>
      <c r="EP183" s="24"/>
      <c r="EQ183" s="24"/>
      <c r="ER183" s="24"/>
      <c r="ES183" s="24"/>
      <c r="ET183" s="24"/>
      <c r="EU183" s="24"/>
      <c r="EV183" s="24"/>
      <c r="EW183" s="24"/>
      <c r="EX183" s="24"/>
      <c r="EY183" s="24"/>
      <c r="EZ183" s="24"/>
    </row>
    <row r="184" spans="27:156">
      <c r="AA184" s="24"/>
      <c r="AB184" s="31">
        <v>138</v>
      </c>
      <c r="AC184" s="22">
        <v>144</v>
      </c>
      <c r="AD184" s="22">
        <v>139</v>
      </c>
      <c r="AE184" s="22">
        <v>131</v>
      </c>
      <c r="AF184" s="22">
        <v>126</v>
      </c>
      <c r="AG184" s="22">
        <v>122</v>
      </c>
      <c r="AH184" s="22">
        <v>118</v>
      </c>
      <c r="AI184" s="22">
        <v>115</v>
      </c>
      <c r="AJ184" s="22">
        <v>115</v>
      </c>
      <c r="AK184" s="22">
        <v>115</v>
      </c>
      <c r="AL184" s="22">
        <v>114</v>
      </c>
      <c r="AM184" s="22">
        <v>115</v>
      </c>
      <c r="AN184" s="22">
        <v>118</v>
      </c>
      <c r="AO184" s="22">
        <v>119</v>
      </c>
      <c r="AP184" s="22">
        <v>157</v>
      </c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24"/>
      <c r="CD184" s="24"/>
      <c r="CE184" s="24"/>
      <c r="CF184" s="24"/>
      <c r="CG184" s="24"/>
      <c r="CH184" s="24"/>
      <c r="CI184" s="24"/>
      <c r="CJ184" s="24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  <c r="DE184" s="24"/>
      <c r="DF184" s="24"/>
      <c r="DG184" s="24"/>
      <c r="DH184" s="24"/>
      <c r="DI184" s="24"/>
      <c r="DJ184" s="24"/>
      <c r="DK184" s="24"/>
      <c r="DL184" s="24"/>
      <c r="DM184" s="24"/>
      <c r="DN184" s="24"/>
      <c r="DO184" s="24"/>
      <c r="DP184" s="24"/>
      <c r="DQ184" s="24"/>
      <c r="DR184" s="24"/>
      <c r="DS184" s="24"/>
      <c r="DT184" s="24"/>
      <c r="DU184" s="24"/>
      <c r="DV184" s="24"/>
      <c r="DW184" s="24"/>
      <c r="DX184" s="24"/>
      <c r="DY184" s="24"/>
      <c r="DZ184" s="24"/>
      <c r="EA184" s="24"/>
      <c r="EB184" s="24"/>
      <c r="EC184" s="24"/>
      <c r="ED184" s="24"/>
      <c r="EE184" s="24"/>
      <c r="EF184" s="24"/>
      <c r="EG184" s="24"/>
      <c r="EH184" s="24"/>
      <c r="EI184" s="24"/>
      <c r="EJ184" s="24"/>
      <c r="EK184" s="24"/>
      <c r="EL184" s="24"/>
      <c r="EM184" s="24"/>
      <c r="EN184" s="24"/>
      <c r="EO184" s="24"/>
      <c r="EP184" s="24"/>
      <c r="EQ184" s="24"/>
      <c r="ER184" s="24"/>
      <c r="ES184" s="24"/>
      <c r="ET184" s="24"/>
      <c r="EU184" s="24"/>
      <c r="EV184" s="24"/>
      <c r="EW184" s="24"/>
      <c r="EX184" s="24"/>
      <c r="EY184" s="24"/>
      <c r="EZ184" s="24"/>
    </row>
    <row r="185" spans="27:156">
      <c r="AA185" s="24"/>
      <c r="AB185" s="31">
        <v>139</v>
      </c>
      <c r="AC185" s="22">
        <v>144</v>
      </c>
      <c r="AD185" s="22">
        <v>139</v>
      </c>
      <c r="AE185" s="22">
        <v>131</v>
      </c>
      <c r="AF185" s="22">
        <v>126</v>
      </c>
      <c r="AG185" s="22">
        <v>122</v>
      </c>
      <c r="AH185" s="22">
        <v>118</v>
      </c>
      <c r="AI185" s="22">
        <v>115</v>
      </c>
      <c r="AJ185" s="22">
        <v>115</v>
      </c>
      <c r="AK185" s="22">
        <v>115</v>
      </c>
      <c r="AL185" s="22">
        <v>114</v>
      </c>
      <c r="AM185" s="22">
        <v>115</v>
      </c>
      <c r="AN185" s="22">
        <v>118</v>
      </c>
      <c r="AO185" s="22">
        <v>119</v>
      </c>
      <c r="AP185" s="23">
        <v>159</v>
      </c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  <c r="DH185" s="24"/>
      <c r="DI185" s="24"/>
      <c r="DJ185" s="24"/>
      <c r="DK185" s="24"/>
      <c r="DL185" s="24"/>
      <c r="DM185" s="24"/>
      <c r="DN185" s="24"/>
      <c r="DO185" s="24"/>
      <c r="DP185" s="24"/>
      <c r="DQ185" s="24"/>
      <c r="DR185" s="24"/>
      <c r="DS185" s="24"/>
      <c r="DT185" s="24"/>
      <c r="DU185" s="24"/>
      <c r="DV185" s="24"/>
      <c r="DW185" s="24"/>
      <c r="DX185" s="24"/>
      <c r="DY185" s="24"/>
      <c r="DZ185" s="24"/>
      <c r="EA185" s="24"/>
      <c r="EB185" s="24"/>
      <c r="EC185" s="24"/>
      <c r="ED185" s="24"/>
      <c r="EE185" s="24"/>
      <c r="EF185" s="24"/>
      <c r="EG185" s="24"/>
      <c r="EH185" s="24"/>
      <c r="EI185" s="24"/>
      <c r="EJ185" s="24"/>
      <c r="EK185" s="24"/>
      <c r="EL185" s="24"/>
      <c r="EM185" s="24"/>
      <c r="EN185" s="24"/>
      <c r="EO185" s="24"/>
      <c r="EP185" s="24"/>
      <c r="EQ185" s="24"/>
      <c r="ER185" s="24"/>
      <c r="ES185" s="24"/>
      <c r="ET185" s="24"/>
      <c r="EU185" s="24"/>
      <c r="EV185" s="24"/>
      <c r="EW185" s="24"/>
      <c r="EX185" s="24"/>
      <c r="EY185" s="24"/>
      <c r="EZ185" s="24"/>
    </row>
    <row r="186" spans="27:156">
      <c r="AA186" s="24"/>
      <c r="AB186" s="31">
        <v>140</v>
      </c>
      <c r="AC186" s="22">
        <v>144</v>
      </c>
      <c r="AD186" s="22">
        <v>139</v>
      </c>
      <c r="AE186" s="22">
        <v>131</v>
      </c>
      <c r="AF186" s="22">
        <v>126</v>
      </c>
      <c r="AG186" s="22">
        <v>122</v>
      </c>
      <c r="AH186" s="22">
        <v>118</v>
      </c>
      <c r="AI186" s="22">
        <v>115</v>
      </c>
      <c r="AJ186" s="22">
        <v>115</v>
      </c>
      <c r="AK186" s="22">
        <v>115</v>
      </c>
      <c r="AL186" s="22">
        <v>114</v>
      </c>
      <c r="AM186" s="22">
        <v>115</v>
      </c>
      <c r="AN186" s="22">
        <v>118</v>
      </c>
      <c r="AO186" s="22">
        <v>119</v>
      </c>
      <c r="AP186" s="22">
        <v>160</v>
      </c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  <c r="CA186" s="24"/>
      <c r="CB186" s="24"/>
      <c r="CC186" s="24"/>
      <c r="CD186" s="24"/>
      <c r="CE186" s="24"/>
      <c r="CF186" s="24"/>
      <c r="CG186" s="24"/>
      <c r="CH186" s="24"/>
      <c r="CI186" s="24"/>
      <c r="CJ186" s="24"/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C186" s="24"/>
      <c r="DD186" s="24"/>
      <c r="DE186" s="24"/>
      <c r="DF186" s="24"/>
      <c r="DG186" s="24"/>
      <c r="DH186" s="24"/>
      <c r="DI186" s="24"/>
      <c r="DJ186" s="24"/>
      <c r="DK186" s="24"/>
      <c r="DL186" s="24"/>
      <c r="DM186" s="24"/>
      <c r="DN186" s="24"/>
      <c r="DO186" s="24"/>
      <c r="DP186" s="24"/>
      <c r="DQ186" s="24"/>
      <c r="DR186" s="24"/>
      <c r="DS186" s="24"/>
      <c r="DT186" s="24"/>
      <c r="DU186" s="24"/>
      <c r="DV186" s="24"/>
      <c r="DW186" s="24"/>
      <c r="DX186" s="24"/>
      <c r="DY186" s="24"/>
      <c r="DZ186" s="24"/>
      <c r="EA186" s="24"/>
      <c r="EB186" s="24"/>
      <c r="EC186" s="24"/>
      <c r="ED186" s="24"/>
      <c r="EE186" s="24"/>
      <c r="EF186" s="24"/>
      <c r="EG186" s="24"/>
      <c r="EH186" s="24"/>
      <c r="EI186" s="24"/>
      <c r="EJ186" s="24"/>
      <c r="EK186" s="24"/>
      <c r="EL186" s="24"/>
      <c r="EM186" s="24"/>
      <c r="EN186" s="24"/>
      <c r="EO186" s="24"/>
      <c r="EP186" s="24"/>
      <c r="EQ186" s="24"/>
      <c r="ER186" s="24"/>
      <c r="ES186" s="24"/>
      <c r="ET186" s="24"/>
      <c r="EU186" s="24"/>
      <c r="EV186" s="24"/>
      <c r="EW186" s="24"/>
      <c r="EX186" s="24"/>
      <c r="EY186" s="24"/>
      <c r="EZ186" s="24"/>
    </row>
    <row r="187" spans="27:156">
      <c r="AA187" s="24"/>
      <c r="AB187" s="31">
        <v>141</v>
      </c>
      <c r="AC187" s="22">
        <v>151</v>
      </c>
      <c r="AD187" s="22">
        <v>145</v>
      </c>
      <c r="AE187" s="22">
        <v>136</v>
      </c>
      <c r="AF187" s="22">
        <v>131</v>
      </c>
      <c r="AG187" s="22">
        <v>127</v>
      </c>
      <c r="AH187" s="22">
        <v>122</v>
      </c>
      <c r="AI187" s="22">
        <v>118</v>
      </c>
      <c r="AJ187" s="22">
        <v>118</v>
      </c>
      <c r="AK187" s="22">
        <v>118</v>
      </c>
      <c r="AL187" s="22">
        <v>118</v>
      </c>
      <c r="AM187" s="22">
        <v>119</v>
      </c>
      <c r="AN187" s="22">
        <v>121</v>
      </c>
      <c r="AO187" s="22">
        <v>122</v>
      </c>
      <c r="AP187" s="22">
        <v>160</v>
      </c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B187" s="24"/>
      <c r="CC187" s="24"/>
      <c r="CD187" s="24"/>
      <c r="CE187" s="24"/>
      <c r="CF187" s="24"/>
      <c r="CG187" s="24"/>
      <c r="CH187" s="24"/>
      <c r="CI187" s="24"/>
      <c r="CJ187" s="24"/>
      <c r="CK187" s="24"/>
      <c r="CL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C187" s="24"/>
      <c r="DD187" s="24"/>
      <c r="DE187" s="24"/>
      <c r="DF187" s="24"/>
      <c r="DG187" s="24"/>
      <c r="DH187" s="24"/>
      <c r="DI187" s="24"/>
      <c r="DJ187" s="24"/>
      <c r="DK187" s="24"/>
      <c r="DL187" s="24"/>
      <c r="DM187" s="24"/>
      <c r="DN187" s="24"/>
      <c r="DO187" s="24"/>
      <c r="DP187" s="24"/>
      <c r="DQ187" s="24"/>
      <c r="DR187" s="24"/>
      <c r="DS187" s="24"/>
      <c r="DT187" s="24"/>
      <c r="DU187" s="24"/>
      <c r="DV187" s="24"/>
      <c r="DW187" s="24"/>
      <c r="DX187" s="24"/>
      <c r="DY187" s="24"/>
      <c r="DZ187" s="24"/>
      <c r="EA187" s="24"/>
      <c r="EB187" s="24"/>
      <c r="EC187" s="24"/>
      <c r="ED187" s="24"/>
      <c r="EE187" s="24"/>
      <c r="EF187" s="24"/>
      <c r="EG187" s="24"/>
      <c r="EH187" s="24"/>
      <c r="EI187" s="24"/>
      <c r="EJ187" s="24"/>
      <c r="EK187" s="24"/>
      <c r="EL187" s="24"/>
      <c r="EM187" s="24"/>
      <c r="EN187" s="24"/>
      <c r="EO187" s="24"/>
      <c r="EP187" s="24"/>
      <c r="EQ187" s="24"/>
      <c r="ER187" s="24"/>
      <c r="ES187" s="24"/>
      <c r="ET187" s="24"/>
      <c r="EU187" s="24"/>
      <c r="EV187" s="24"/>
      <c r="EW187" s="24"/>
      <c r="EX187" s="24"/>
      <c r="EY187" s="24"/>
      <c r="EZ187" s="24"/>
    </row>
    <row r="188" spans="27:156">
      <c r="AA188" s="24"/>
      <c r="AB188" s="31">
        <v>142</v>
      </c>
      <c r="AC188" s="22">
        <v>151</v>
      </c>
      <c r="AD188" s="22">
        <v>145</v>
      </c>
      <c r="AE188" s="22">
        <v>136</v>
      </c>
      <c r="AF188" s="22">
        <v>131</v>
      </c>
      <c r="AG188" s="22">
        <v>127</v>
      </c>
      <c r="AH188" s="22">
        <v>122</v>
      </c>
      <c r="AI188" s="22">
        <v>118</v>
      </c>
      <c r="AJ188" s="22">
        <v>118</v>
      </c>
      <c r="AK188" s="22">
        <v>118</v>
      </c>
      <c r="AL188" s="22">
        <v>118</v>
      </c>
      <c r="AM188" s="22">
        <v>119</v>
      </c>
      <c r="AN188" s="22">
        <v>121</v>
      </c>
      <c r="AO188" s="22">
        <v>122</v>
      </c>
      <c r="AP188" s="22">
        <v>160</v>
      </c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  <c r="CD188" s="24"/>
      <c r="CE188" s="24"/>
      <c r="CF188" s="24"/>
      <c r="CG188" s="24"/>
      <c r="CH188" s="24"/>
      <c r="CI188" s="24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24"/>
      <c r="DF188" s="24"/>
      <c r="DG188" s="24"/>
      <c r="DH188" s="24"/>
      <c r="DI188" s="24"/>
      <c r="DJ188" s="24"/>
      <c r="DK188" s="24"/>
      <c r="DL188" s="24"/>
      <c r="DM188" s="24"/>
      <c r="DN188" s="24"/>
      <c r="DO188" s="24"/>
      <c r="DP188" s="24"/>
      <c r="DQ188" s="24"/>
      <c r="DR188" s="24"/>
      <c r="DS188" s="24"/>
      <c r="DT188" s="24"/>
      <c r="DU188" s="24"/>
      <c r="DV188" s="24"/>
      <c r="DW188" s="24"/>
      <c r="DX188" s="24"/>
      <c r="DY188" s="24"/>
      <c r="DZ188" s="24"/>
      <c r="EA188" s="24"/>
      <c r="EB188" s="24"/>
      <c r="EC188" s="24"/>
      <c r="ED188" s="24"/>
      <c r="EE188" s="24"/>
      <c r="EF188" s="24"/>
      <c r="EG188" s="24"/>
      <c r="EH188" s="24"/>
      <c r="EI188" s="24"/>
      <c r="EJ188" s="24"/>
      <c r="EK188" s="24"/>
      <c r="EL188" s="24"/>
      <c r="EM188" s="24"/>
      <c r="EN188" s="24"/>
      <c r="EO188" s="24"/>
      <c r="EP188" s="24"/>
      <c r="EQ188" s="24"/>
      <c r="ER188" s="24"/>
      <c r="ES188" s="24"/>
      <c r="ET188" s="24"/>
      <c r="EU188" s="24"/>
      <c r="EV188" s="24"/>
      <c r="EW188" s="24"/>
      <c r="EX188" s="24"/>
      <c r="EY188" s="24"/>
      <c r="EZ188" s="24"/>
    </row>
    <row r="189" spans="27:156">
      <c r="AA189" s="24"/>
      <c r="AB189" s="31">
        <v>143</v>
      </c>
      <c r="AC189" s="22">
        <v>151</v>
      </c>
      <c r="AD189" s="22">
        <v>145</v>
      </c>
      <c r="AE189" s="22">
        <v>136</v>
      </c>
      <c r="AF189" s="22">
        <v>131</v>
      </c>
      <c r="AG189" s="22">
        <v>127</v>
      </c>
      <c r="AH189" s="22">
        <v>122</v>
      </c>
      <c r="AI189" s="22">
        <v>118</v>
      </c>
      <c r="AJ189" s="22">
        <v>118</v>
      </c>
      <c r="AK189" s="22">
        <v>118</v>
      </c>
      <c r="AL189" s="22">
        <v>118</v>
      </c>
      <c r="AM189" s="22">
        <v>119</v>
      </c>
      <c r="AN189" s="22">
        <v>121</v>
      </c>
      <c r="AO189" s="22">
        <v>122</v>
      </c>
      <c r="AP189" s="22">
        <v>160</v>
      </c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B189" s="24"/>
      <c r="CC189" s="24"/>
      <c r="CD189" s="24"/>
      <c r="CE189" s="24"/>
      <c r="CF189" s="24"/>
      <c r="CG189" s="24"/>
      <c r="CH189" s="24"/>
      <c r="CI189" s="24"/>
      <c r="CJ189" s="24"/>
      <c r="CK189" s="24"/>
      <c r="CL189" s="24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C189" s="24"/>
      <c r="DD189" s="24"/>
      <c r="DE189" s="24"/>
      <c r="DF189" s="24"/>
      <c r="DG189" s="24"/>
      <c r="DH189" s="24"/>
      <c r="DI189" s="24"/>
      <c r="DJ189" s="24"/>
      <c r="DK189" s="24"/>
      <c r="DL189" s="24"/>
      <c r="DM189" s="24"/>
      <c r="DN189" s="24"/>
      <c r="DO189" s="24"/>
      <c r="DP189" s="24"/>
      <c r="DQ189" s="24"/>
      <c r="DR189" s="24"/>
      <c r="DS189" s="24"/>
      <c r="DT189" s="24"/>
      <c r="DU189" s="24"/>
      <c r="DV189" s="24"/>
      <c r="DW189" s="24"/>
      <c r="DX189" s="24"/>
      <c r="DY189" s="24"/>
      <c r="DZ189" s="24"/>
      <c r="EA189" s="24"/>
      <c r="EB189" s="24"/>
      <c r="EC189" s="24"/>
      <c r="ED189" s="24"/>
      <c r="EE189" s="24"/>
      <c r="EF189" s="24"/>
      <c r="EG189" s="24"/>
      <c r="EH189" s="24"/>
      <c r="EI189" s="24"/>
      <c r="EJ189" s="24"/>
      <c r="EK189" s="24"/>
      <c r="EL189" s="24"/>
      <c r="EM189" s="24"/>
      <c r="EN189" s="24"/>
      <c r="EO189" s="24"/>
      <c r="EP189" s="24"/>
      <c r="EQ189" s="24"/>
      <c r="ER189" s="24"/>
      <c r="ES189" s="24"/>
      <c r="ET189" s="24"/>
      <c r="EU189" s="24"/>
      <c r="EV189" s="24"/>
      <c r="EW189" s="24"/>
      <c r="EX189" s="24"/>
      <c r="EY189" s="24"/>
      <c r="EZ189" s="24"/>
    </row>
    <row r="190" spans="27:156">
      <c r="AA190" s="24"/>
      <c r="AB190" s="31">
        <v>144</v>
      </c>
      <c r="AC190" s="22">
        <v>151</v>
      </c>
      <c r="AD190" s="22">
        <v>145</v>
      </c>
      <c r="AE190" s="22">
        <v>136</v>
      </c>
      <c r="AF190" s="22">
        <v>131</v>
      </c>
      <c r="AG190" s="22">
        <v>127</v>
      </c>
      <c r="AH190" s="22">
        <v>122</v>
      </c>
      <c r="AI190" s="22">
        <v>118</v>
      </c>
      <c r="AJ190" s="22">
        <v>118</v>
      </c>
      <c r="AK190" s="22">
        <v>118</v>
      </c>
      <c r="AL190" s="22">
        <v>118</v>
      </c>
      <c r="AM190" s="22">
        <v>119</v>
      </c>
      <c r="AN190" s="22">
        <v>121</v>
      </c>
      <c r="AO190" s="22">
        <v>122</v>
      </c>
      <c r="AP190" s="22">
        <v>160</v>
      </c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4"/>
      <c r="CC190" s="24"/>
      <c r="CD190" s="24"/>
      <c r="CE190" s="24"/>
      <c r="CF190" s="24"/>
      <c r="CG190" s="24"/>
      <c r="CH190" s="24"/>
      <c r="CI190" s="24"/>
      <c r="CJ190" s="24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C190" s="24"/>
      <c r="DD190" s="24"/>
      <c r="DE190" s="24"/>
      <c r="DF190" s="24"/>
      <c r="DG190" s="24"/>
      <c r="DH190" s="24"/>
      <c r="DI190" s="24"/>
      <c r="DJ190" s="24"/>
      <c r="DK190" s="24"/>
      <c r="DL190" s="24"/>
      <c r="DM190" s="24"/>
      <c r="DN190" s="24"/>
      <c r="DO190" s="24"/>
      <c r="DP190" s="24"/>
      <c r="DQ190" s="24"/>
      <c r="DR190" s="24"/>
      <c r="DS190" s="24"/>
      <c r="DT190" s="24"/>
      <c r="DU190" s="24"/>
      <c r="DV190" s="24"/>
      <c r="DW190" s="24"/>
      <c r="DX190" s="24"/>
      <c r="DY190" s="24"/>
      <c r="DZ190" s="24"/>
      <c r="EA190" s="24"/>
      <c r="EB190" s="24"/>
      <c r="EC190" s="24"/>
      <c r="ED190" s="24"/>
      <c r="EE190" s="24"/>
      <c r="EF190" s="24"/>
      <c r="EG190" s="24"/>
      <c r="EH190" s="24"/>
      <c r="EI190" s="24"/>
      <c r="EJ190" s="24"/>
      <c r="EK190" s="24"/>
      <c r="EL190" s="24"/>
      <c r="EM190" s="24"/>
      <c r="EN190" s="24"/>
      <c r="EO190" s="24"/>
      <c r="EP190" s="24"/>
      <c r="EQ190" s="24"/>
      <c r="ER190" s="24"/>
      <c r="ES190" s="24"/>
      <c r="ET190" s="24"/>
      <c r="EU190" s="24"/>
      <c r="EV190" s="24"/>
      <c r="EW190" s="24"/>
      <c r="EX190" s="24"/>
      <c r="EY190" s="24"/>
      <c r="EZ190" s="24"/>
    </row>
    <row r="191" spans="27:156">
      <c r="AA191" s="24"/>
      <c r="AB191" s="31">
        <v>145</v>
      </c>
      <c r="AC191" s="22">
        <v>151</v>
      </c>
      <c r="AD191" s="22">
        <v>145</v>
      </c>
      <c r="AE191" s="22">
        <v>136</v>
      </c>
      <c r="AF191" s="22">
        <v>131</v>
      </c>
      <c r="AG191" s="22">
        <v>127</v>
      </c>
      <c r="AH191" s="22">
        <v>122</v>
      </c>
      <c r="AI191" s="22">
        <v>118</v>
      </c>
      <c r="AJ191" s="22">
        <v>118</v>
      </c>
      <c r="AK191" s="22">
        <v>118</v>
      </c>
      <c r="AL191" s="22">
        <v>118</v>
      </c>
      <c r="AM191" s="22">
        <v>119</v>
      </c>
      <c r="AN191" s="22">
        <v>121</v>
      </c>
      <c r="AO191" s="22">
        <v>122</v>
      </c>
      <c r="AP191" s="22">
        <v>160</v>
      </c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24"/>
      <c r="CD191" s="24"/>
      <c r="CE191" s="24"/>
      <c r="CF191" s="24"/>
      <c r="CG191" s="24"/>
      <c r="CH191" s="24"/>
      <c r="CI191" s="24"/>
      <c r="CJ191" s="24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C191" s="24"/>
      <c r="DD191" s="24"/>
      <c r="DE191" s="24"/>
      <c r="DF191" s="24"/>
      <c r="DG191" s="24"/>
      <c r="DH191" s="24"/>
      <c r="DI191" s="24"/>
      <c r="DJ191" s="24"/>
      <c r="DK191" s="24"/>
      <c r="DL191" s="24"/>
      <c r="DM191" s="24"/>
      <c r="DN191" s="24"/>
      <c r="DO191" s="24"/>
      <c r="DP191" s="24"/>
      <c r="DQ191" s="24"/>
      <c r="DR191" s="24"/>
      <c r="DS191" s="24"/>
      <c r="DT191" s="24"/>
      <c r="DU191" s="24"/>
      <c r="DV191" s="24"/>
      <c r="DW191" s="24"/>
      <c r="DX191" s="24"/>
      <c r="DY191" s="24"/>
      <c r="DZ191" s="24"/>
      <c r="EA191" s="24"/>
      <c r="EB191" s="24"/>
      <c r="EC191" s="24"/>
      <c r="ED191" s="24"/>
      <c r="EE191" s="24"/>
      <c r="EF191" s="24"/>
      <c r="EG191" s="24"/>
      <c r="EH191" s="24"/>
      <c r="EI191" s="24"/>
      <c r="EJ191" s="24"/>
      <c r="EK191" s="24"/>
      <c r="EL191" s="24"/>
      <c r="EM191" s="24"/>
      <c r="EN191" s="24"/>
      <c r="EO191" s="24"/>
      <c r="EP191" s="24"/>
      <c r="EQ191" s="24"/>
      <c r="ER191" s="24"/>
      <c r="ES191" s="24"/>
      <c r="ET191" s="24"/>
      <c r="EU191" s="24"/>
      <c r="EV191" s="24"/>
      <c r="EW191" s="24"/>
      <c r="EX191" s="24"/>
      <c r="EY191" s="24"/>
      <c r="EZ191" s="24"/>
    </row>
    <row r="192" spans="27:156">
      <c r="AA192" s="24"/>
      <c r="AB192" s="31">
        <v>146</v>
      </c>
      <c r="AC192" s="22">
        <v>151</v>
      </c>
      <c r="AD192" s="22">
        <v>145</v>
      </c>
      <c r="AE192" s="22">
        <v>136</v>
      </c>
      <c r="AF192" s="22">
        <v>131</v>
      </c>
      <c r="AG192" s="22">
        <v>127</v>
      </c>
      <c r="AH192" s="22">
        <v>122</v>
      </c>
      <c r="AI192" s="22">
        <v>118</v>
      </c>
      <c r="AJ192" s="22">
        <v>118</v>
      </c>
      <c r="AK192" s="22">
        <v>118</v>
      </c>
      <c r="AL192" s="22">
        <v>118</v>
      </c>
      <c r="AM192" s="22">
        <v>119</v>
      </c>
      <c r="AN192" s="22">
        <v>121</v>
      </c>
      <c r="AO192" s="22">
        <v>122</v>
      </c>
      <c r="AP192" s="22">
        <v>160</v>
      </c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  <c r="DH192" s="24"/>
      <c r="DI192" s="24"/>
      <c r="DJ192" s="24"/>
      <c r="DK192" s="24"/>
      <c r="DL192" s="24"/>
      <c r="DM192" s="24"/>
      <c r="DN192" s="24"/>
      <c r="DO192" s="24"/>
      <c r="DP192" s="24"/>
      <c r="DQ192" s="24"/>
      <c r="DR192" s="24"/>
      <c r="DS192" s="24"/>
      <c r="DT192" s="24"/>
      <c r="DU192" s="24"/>
      <c r="DV192" s="24"/>
      <c r="DW192" s="24"/>
      <c r="DX192" s="24"/>
      <c r="DY192" s="24"/>
      <c r="DZ192" s="24"/>
      <c r="EA192" s="24"/>
      <c r="EB192" s="24"/>
      <c r="EC192" s="24"/>
      <c r="ED192" s="24"/>
      <c r="EE192" s="24"/>
      <c r="EF192" s="24"/>
      <c r="EG192" s="24"/>
      <c r="EH192" s="24"/>
      <c r="EI192" s="24"/>
      <c r="EJ192" s="24"/>
      <c r="EK192" s="24"/>
      <c r="EL192" s="24"/>
      <c r="EM192" s="24"/>
      <c r="EN192" s="24"/>
      <c r="EO192" s="24"/>
      <c r="EP192" s="24"/>
      <c r="EQ192" s="24"/>
      <c r="ER192" s="24"/>
      <c r="ES192" s="24"/>
      <c r="ET192" s="24"/>
      <c r="EU192" s="24"/>
      <c r="EV192" s="24"/>
      <c r="EW192" s="24"/>
      <c r="EX192" s="24"/>
      <c r="EY192" s="24"/>
      <c r="EZ192" s="24"/>
    </row>
    <row r="193" spans="27:156">
      <c r="AA193" s="24"/>
      <c r="AB193" s="31">
        <v>147</v>
      </c>
      <c r="AC193" s="22">
        <v>151</v>
      </c>
      <c r="AD193" s="22">
        <v>145</v>
      </c>
      <c r="AE193" s="22">
        <v>136</v>
      </c>
      <c r="AF193" s="22">
        <v>131</v>
      </c>
      <c r="AG193" s="22">
        <v>127</v>
      </c>
      <c r="AH193" s="22">
        <v>122</v>
      </c>
      <c r="AI193" s="22">
        <v>118</v>
      </c>
      <c r="AJ193" s="22">
        <v>118</v>
      </c>
      <c r="AK193" s="22">
        <v>118</v>
      </c>
      <c r="AL193" s="22">
        <v>118</v>
      </c>
      <c r="AM193" s="22">
        <v>119</v>
      </c>
      <c r="AN193" s="22">
        <v>121</v>
      </c>
      <c r="AO193" s="22">
        <v>122</v>
      </c>
      <c r="AP193" s="22">
        <v>160</v>
      </c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  <c r="CC193" s="24"/>
      <c r="CD193" s="24"/>
      <c r="CE193" s="24"/>
      <c r="CF193" s="24"/>
      <c r="CG193" s="24"/>
      <c r="CH193" s="24"/>
      <c r="CI193" s="24"/>
      <c r="CJ193" s="24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  <c r="DE193" s="24"/>
      <c r="DF193" s="24"/>
      <c r="DG193" s="24"/>
      <c r="DH193" s="24"/>
      <c r="DI193" s="24"/>
      <c r="DJ193" s="24"/>
      <c r="DK193" s="24"/>
      <c r="DL193" s="24"/>
      <c r="DM193" s="24"/>
      <c r="DN193" s="24"/>
      <c r="DO193" s="24"/>
      <c r="DP193" s="24"/>
      <c r="DQ193" s="24"/>
      <c r="DR193" s="24"/>
      <c r="DS193" s="24"/>
      <c r="DT193" s="24"/>
      <c r="DU193" s="24"/>
      <c r="DV193" s="24"/>
      <c r="DW193" s="24"/>
      <c r="DX193" s="24"/>
      <c r="DY193" s="24"/>
      <c r="DZ193" s="24"/>
      <c r="EA193" s="24"/>
      <c r="EB193" s="24"/>
      <c r="EC193" s="24"/>
      <c r="ED193" s="24"/>
      <c r="EE193" s="24"/>
      <c r="EF193" s="24"/>
      <c r="EG193" s="24"/>
      <c r="EH193" s="24"/>
      <c r="EI193" s="24"/>
      <c r="EJ193" s="24"/>
      <c r="EK193" s="24"/>
      <c r="EL193" s="24"/>
      <c r="EM193" s="24"/>
      <c r="EN193" s="24"/>
      <c r="EO193" s="24"/>
      <c r="EP193" s="24"/>
      <c r="EQ193" s="24"/>
      <c r="ER193" s="24"/>
      <c r="ES193" s="24"/>
      <c r="ET193" s="24"/>
      <c r="EU193" s="24"/>
      <c r="EV193" s="24"/>
      <c r="EW193" s="24"/>
      <c r="EX193" s="24"/>
      <c r="EY193" s="24"/>
      <c r="EZ193" s="24"/>
    </row>
    <row r="194" spans="27:156">
      <c r="AA194" s="24"/>
      <c r="AB194" s="31">
        <v>148</v>
      </c>
      <c r="AC194" s="22">
        <v>151</v>
      </c>
      <c r="AD194" s="22">
        <v>145</v>
      </c>
      <c r="AE194" s="22">
        <v>136</v>
      </c>
      <c r="AF194" s="22">
        <v>131</v>
      </c>
      <c r="AG194" s="22">
        <v>127</v>
      </c>
      <c r="AH194" s="22">
        <v>122</v>
      </c>
      <c r="AI194" s="22">
        <v>118</v>
      </c>
      <c r="AJ194" s="22">
        <v>118</v>
      </c>
      <c r="AK194" s="22">
        <v>118</v>
      </c>
      <c r="AL194" s="22">
        <v>118</v>
      </c>
      <c r="AM194" s="22">
        <v>119</v>
      </c>
      <c r="AN194" s="22">
        <v>121</v>
      </c>
      <c r="AO194" s="22">
        <v>122</v>
      </c>
      <c r="AP194" s="22">
        <v>160</v>
      </c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4"/>
      <c r="CF194" s="24"/>
      <c r="CG194" s="24"/>
      <c r="CH194" s="24"/>
      <c r="CI194" s="24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C194" s="24"/>
      <c r="DD194" s="24"/>
      <c r="DE194" s="24"/>
      <c r="DF194" s="24"/>
      <c r="DG194" s="24"/>
      <c r="DH194" s="24"/>
      <c r="DI194" s="24"/>
      <c r="DJ194" s="24"/>
      <c r="DK194" s="24"/>
      <c r="DL194" s="24"/>
      <c r="DM194" s="24"/>
      <c r="DN194" s="24"/>
      <c r="DO194" s="24"/>
      <c r="DP194" s="24"/>
      <c r="DQ194" s="24"/>
      <c r="DR194" s="24"/>
      <c r="DS194" s="24"/>
      <c r="DT194" s="24"/>
      <c r="DU194" s="24"/>
      <c r="DV194" s="24"/>
      <c r="DW194" s="24"/>
      <c r="DX194" s="24"/>
      <c r="DY194" s="24"/>
      <c r="DZ194" s="24"/>
      <c r="EA194" s="24"/>
      <c r="EB194" s="24"/>
      <c r="EC194" s="24"/>
      <c r="ED194" s="24"/>
      <c r="EE194" s="24"/>
      <c r="EF194" s="24"/>
      <c r="EG194" s="24"/>
      <c r="EH194" s="24"/>
      <c r="EI194" s="24"/>
      <c r="EJ194" s="24"/>
      <c r="EK194" s="24"/>
      <c r="EL194" s="24"/>
      <c r="EM194" s="24"/>
      <c r="EN194" s="24"/>
      <c r="EO194" s="24"/>
      <c r="EP194" s="24"/>
      <c r="EQ194" s="24"/>
      <c r="ER194" s="24"/>
      <c r="ES194" s="24"/>
      <c r="ET194" s="24"/>
      <c r="EU194" s="24"/>
      <c r="EV194" s="24"/>
      <c r="EW194" s="24"/>
      <c r="EX194" s="24"/>
      <c r="EY194" s="24"/>
      <c r="EZ194" s="24"/>
    </row>
    <row r="195" spans="27:156">
      <c r="AA195" s="24"/>
      <c r="AB195" s="31">
        <v>149</v>
      </c>
      <c r="AC195" s="22">
        <v>151</v>
      </c>
      <c r="AD195" s="22">
        <v>145</v>
      </c>
      <c r="AE195" s="22">
        <v>136</v>
      </c>
      <c r="AF195" s="22">
        <v>131</v>
      </c>
      <c r="AG195" s="22">
        <v>127</v>
      </c>
      <c r="AH195" s="22">
        <v>122</v>
      </c>
      <c r="AI195" s="22">
        <v>118</v>
      </c>
      <c r="AJ195" s="22">
        <v>118</v>
      </c>
      <c r="AK195" s="22">
        <v>118</v>
      </c>
      <c r="AL195" s="22">
        <v>118</v>
      </c>
      <c r="AM195" s="22">
        <v>119</v>
      </c>
      <c r="AN195" s="22">
        <v>121</v>
      </c>
      <c r="AO195" s="22">
        <v>122</v>
      </c>
      <c r="AP195" s="22">
        <v>160</v>
      </c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4"/>
      <c r="CF195" s="24"/>
      <c r="CG195" s="24"/>
      <c r="CH195" s="24"/>
      <c r="CI195" s="24"/>
      <c r="CJ195" s="24"/>
      <c r="CK195" s="24"/>
      <c r="CL195" s="24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C195" s="24"/>
      <c r="DD195" s="24"/>
      <c r="DE195" s="24"/>
      <c r="DF195" s="24"/>
      <c r="DG195" s="24"/>
      <c r="DH195" s="24"/>
      <c r="DI195" s="24"/>
      <c r="DJ195" s="24"/>
      <c r="DK195" s="24"/>
      <c r="DL195" s="24"/>
      <c r="DM195" s="24"/>
      <c r="DN195" s="24"/>
      <c r="DO195" s="24"/>
      <c r="DP195" s="24"/>
      <c r="DQ195" s="24"/>
      <c r="DR195" s="24"/>
      <c r="DS195" s="24"/>
      <c r="DT195" s="24"/>
      <c r="DU195" s="24"/>
      <c r="DV195" s="24"/>
      <c r="DW195" s="24"/>
      <c r="DX195" s="24"/>
      <c r="DY195" s="24"/>
      <c r="DZ195" s="24"/>
      <c r="EA195" s="24"/>
      <c r="EB195" s="24"/>
      <c r="EC195" s="24"/>
      <c r="ED195" s="24"/>
      <c r="EE195" s="24"/>
      <c r="EF195" s="24"/>
      <c r="EG195" s="24"/>
      <c r="EH195" s="24"/>
      <c r="EI195" s="24"/>
      <c r="EJ195" s="24"/>
      <c r="EK195" s="24"/>
      <c r="EL195" s="24"/>
      <c r="EM195" s="24"/>
      <c r="EN195" s="24"/>
      <c r="EO195" s="24"/>
      <c r="EP195" s="24"/>
      <c r="EQ195" s="24"/>
      <c r="ER195" s="24"/>
      <c r="ES195" s="24"/>
      <c r="ET195" s="24"/>
      <c r="EU195" s="24"/>
      <c r="EV195" s="24"/>
      <c r="EW195" s="24"/>
      <c r="EX195" s="24"/>
      <c r="EY195" s="24"/>
      <c r="EZ195" s="24"/>
    </row>
    <row r="196" spans="27:156">
      <c r="AA196" s="24"/>
      <c r="AB196" s="31">
        <v>150</v>
      </c>
      <c r="AC196" s="22">
        <v>151</v>
      </c>
      <c r="AD196" s="22">
        <v>145</v>
      </c>
      <c r="AE196" s="22">
        <v>136</v>
      </c>
      <c r="AF196" s="22">
        <v>131</v>
      </c>
      <c r="AG196" s="22">
        <v>127</v>
      </c>
      <c r="AH196" s="22">
        <v>122</v>
      </c>
      <c r="AI196" s="22">
        <v>118</v>
      </c>
      <c r="AJ196" s="22">
        <v>118</v>
      </c>
      <c r="AK196" s="22">
        <v>118</v>
      </c>
      <c r="AL196" s="22">
        <v>118</v>
      </c>
      <c r="AM196" s="22">
        <v>119</v>
      </c>
      <c r="AN196" s="22">
        <v>121</v>
      </c>
      <c r="AO196" s="22">
        <v>122</v>
      </c>
      <c r="AP196" s="22">
        <v>160</v>
      </c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  <c r="CC196" s="24"/>
      <c r="CD196" s="24"/>
      <c r="CE196" s="24"/>
      <c r="CF196" s="24"/>
      <c r="CG196" s="24"/>
      <c r="CH196" s="24"/>
      <c r="CI196" s="24"/>
      <c r="CJ196" s="24"/>
      <c r="CK196" s="24"/>
      <c r="CL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C196" s="24"/>
      <c r="DD196" s="24"/>
      <c r="DE196" s="24"/>
      <c r="DF196" s="24"/>
      <c r="DG196" s="24"/>
      <c r="DH196" s="24"/>
      <c r="DI196" s="24"/>
      <c r="DJ196" s="24"/>
      <c r="DK196" s="24"/>
      <c r="DL196" s="24"/>
      <c r="DM196" s="24"/>
      <c r="DN196" s="24"/>
      <c r="DO196" s="24"/>
      <c r="DP196" s="24"/>
      <c r="DQ196" s="24"/>
      <c r="DR196" s="24"/>
      <c r="DS196" s="24"/>
      <c r="DT196" s="24"/>
      <c r="DU196" s="24"/>
      <c r="DV196" s="24"/>
      <c r="DW196" s="24"/>
      <c r="DX196" s="24"/>
      <c r="DY196" s="24"/>
      <c r="DZ196" s="24"/>
      <c r="EA196" s="24"/>
      <c r="EB196" s="24"/>
      <c r="EC196" s="24"/>
      <c r="ED196" s="24"/>
      <c r="EE196" s="24"/>
      <c r="EF196" s="24"/>
      <c r="EG196" s="24"/>
      <c r="EH196" s="24"/>
      <c r="EI196" s="24"/>
      <c r="EJ196" s="24"/>
      <c r="EK196" s="24"/>
      <c r="EL196" s="24"/>
      <c r="EM196" s="24"/>
      <c r="EN196" s="24"/>
      <c r="EO196" s="24"/>
      <c r="EP196" s="24"/>
      <c r="EQ196" s="24"/>
      <c r="ER196" s="24"/>
      <c r="ES196" s="24"/>
      <c r="ET196" s="24"/>
      <c r="EU196" s="24"/>
      <c r="EV196" s="24"/>
      <c r="EW196" s="24"/>
      <c r="EX196" s="24"/>
      <c r="EY196" s="24"/>
      <c r="EZ196" s="24"/>
    </row>
    <row r="197" spans="27:156">
      <c r="AA197" s="24"/>
      <c r="AB197" s="31">
        <v>151</v>
      </c>
      <c r="AC197" s="22">
        <v>157</v>
      </c>
      <c r="AD197" s="22">
        <v>150</v>
      </c>
      <c r="AE197" s="22">
        <v>141</v>
      </c>
      <c r="AF197" s="22">
        <v>136</v>
      </c>
      <c r="AG197" s="22">
        <v>131</v>
      </c>
      <c r="AH197" s="22">
        <v>126</v>
      </c>
      <c r="AI197" s="22">
        <v>122</v>
      </c>
      <c r="AJ197" s="22">
        <v>122</v>
      </c>
      <c r="AK197" s="22">
        <v>122</v>
      </c>
      <c r="AL197" s="22">
        <v>121</v>
      </c>
      <c r="AM197" s="22">
        <v>122</v>
      </c>
      <c r="AN197" s="22">
        <v>124</v>
      </c>
      <c r="AO197" s="22">
        <v>125</v>
      </c>
      <c r="AP197" s="22">
        <v>160</v>
      </c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  <c r="CD197" s="24"/>
      <c r="CE197" s="24"/>
      <c r="CF197" s="24"/>
      <c r="CG197" s="24"/>
      <c r="CH197" s="24"/>
      <c r="CI197" s="24"/>
      <c r="CJ197" s="24"/>
      <c r="CK197" s="24"/>
      <c r="CL197" s="24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C197" s="24"/>
      <c r="DD197" s="24"/>
      <c r="DE197" s="24"/>
      <c r="DF197" s="24"/>
      <c r="DG197" s="24"/>
      <c r="DH197" s="24"/>
      <c r="DI197" s="24"/>
      <c r="DJ197" s="24"/>
      <c r="DK197" s="24"/>
      <c r="DL197" s="24"/>
      <c r="DM197" s="24"/>
      <c r="DN197" s="24"/>
      <c r="DO197" s="24"/>
      <c r="DP197" s="24"/>
      <c r="DQ197" s="24"/>
      <c r="DR197" s="24"/>
      <c r="DS197" s="24"/>
      <c r="DT197" s="24"/>
      <c r="DU197" s="24"/>
      <c r="DV197" s="24"/>
      <c r="DW197" s="24"/>
      <c r="DX197" s="24"/>
      <c r="DY197" s="24"/>
      <c r="DZ197" s="24"/>
      <c r="EA197" s="24"/>
      <c r="EB197" s="24"/>
      <c r="EC197" s="24"/>
      <c r="ED197" s="24"/>
      <c r="EE197" s="24"/>
      <c r="EF197" s="24"/>
      <c r="EG197" s="24"/>
      <c r="EH197" s="24"/>
      <c r="EI197" s="24"/>
      <c r="EJ197" s="24"/>
      <c r="EK197" s="24"/>
      <c r="EL197" s="24"/>
      <c r="EM197" s="24"/>
      <c r="EN197" s="24"/>
      <c r="EO197" s="24"/>
      <c r="EP197" s="24"/>
      <c r="EQ197" s="24"/>
      <c r="ER197" s="24"/>
      <c r="ES197" s="24"/>
      <c r="ET197" s="24"/>
      <c r="EU197" s="24"/>
      <c r="EV197" s="24"/>
      <c r="EW197" s="24"/>
      <c r="EX197" s="24"/>
      <c r="EY197" s="24"/>
      <c r="EZ197" s="24"/>
    </row>
    <row r="198" spans="27:156">
      <c r="AA198" s="24"/>
      <c r="AB198" s="31">
        <v>152</v>
      </c>
      <c r="AC198" s="22">
        <v>157</v>
      </c>
      <c r="AD198" s="22">
        <v>150</v>
      </c>
      <c r="AE198" s="22">
        <v>141</v>
      </c>
      <c r="AF198" s="22">
        <v>136</v>
      </c>
      <c r="AG198" s="22">
        <v>131</v>
      </c>
      <c r="AH198" s="22">
        <v>126</v>
      </c>
      <c r="AI198" s="22">
        <v>122</v>
      </c>
      <c r="AJ198" s="22">
        <v>122</v>
      </c>
      <c r="AK198" s="22">
        <v>122</v>
      </c>
      <c r="AL198" s="22">
        <v>121</v>
      </c>
      <c r="AM198" s="22">
        <v>122</v>
      </c>
      <c r="AN198" s="22">
        <v>124</v>
      </c>
      <c r="AO198" s="22">
        <v>125</v>
      </c>
      <c r="AP198" s="22">
        <v>160</v>
      </c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24"/>
      <c r="CD198" s="24"/>
      <c r="CE198" s="24"/>
      <c r="CF198" s="24"/>
      <c r="CG198" s="24"/>
      <c r="CH198" s="24"/>
      <c r="CI198" s="24"/>
      <c r="CJ198" s="24"/>
      <c r="CK198" s="24"/>
      <c r="CL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C198" s="24"/>
      <c r="DD198" s="24"/>
      <c r="DE198" s="24"/>
      <c r="DF198" s="24"/>
      <c r="DG198" s="24"/>
      <c r="DH198" s="24"/>
      <c r="DI198" s="24"/>
      <c r="DJ198" s="24"/>
      <c r="DK198" s="24"/>
      <c r="DL198" s="24"/>
      <c r="DM198" s="24"/>
      <c r="DN198" s="24"/>
      <c r="DO198" s="24"/>
      <c r="DP198" s="24"/>
      <c r="DQ198" s="24"/>
      <c r="DR198" s="24"/>
      <c r="DS198" s="24"/>
      <c r="DT198" s="24"/>
      <c r="DU198" s="24"/>
      <c r="DV198" s="24"/>
      <c r="DW198" s="24"/>
      <c r="DX198" s="24"/>
      <c r="DY198" s="24"/>
      <c r="DZ198" s="24"/>
      <c r="EA198" s="24"/>
      <c r="EB198" s="24"/>
      <c r="EC198" s="24"/>
      <c r="ED198" s="24"/>
      <c r="EE198" s="24"/>
      <c r="EF198" s="24"/>
      <c r="EG198" s="24"/>
      <c r="EH198" s="24"/>
      <c r="EI198" s="24"/>
      <c r="EJ198" s="24"/>
      <c r="EK198" s="24"/>
      <c r="EL198" s="24"/>
      <c r="EM198" s="24"/>
      <c r="EN198" s="24"/>
      <c r="EO198" s="24"/>
      <c r="EP198" s="24"/>
      <c r="EQ198" s="24"/>
      <c r="ER198" s="24"/>
      <c r="ES198" s="24"/>
      <c r="ET198" s="24"/>
      <c r="EU198" s="24"/>
      <c r="EV198" s="24"/>
      <c r="EW198" s="24"/>
      <c r="EX198" s="24"/>
      <c r="EY198" s="24"/>
      <c r="EZ198" s="24"/>
    </row>
    <row r="199" spans="27:156">
      <c r="AA199" s="24"/>
      <c r="AB199" s="31">
        <v>153</v>
      </c>
      <c r="AC199" s="22">
        <v>157</v>
      </c>
      <c r="AD199" s="22">
        <v>150</v>
      </c>
      <c r="AE199" s="22">
        <v>141</v>
      </c>
      <c r="AF199" s="22">
        <v>136</v>
      </c>
      <c r="AG199" s="22">
        <v>131</v>
      </c>
      <c r="AH199" s="22">
        <v>126</v>
      </c>
      <c r="AI199" s="22">
        <v>122</v>
      </c>
      <c r="AJ199" s="22">
        <v>122</v>
      </c>
      <c r="AK199" s="22">
        <v>122</v>
      </c>
      <c r="AL199" s="22">
        <v>121</v>
      </c>
      <c r="AM199" s="22">
        <v>122</v>
      </c>
      <c r="AN199" s="22">
        <v>124</v>
      </c>
      <c r="AO199" s="22">
        <v>125</v>
      </c>
      <c r="AP199" s="22">
        <v>160</v>
      </c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24"/>
      <c r="CD199" s="24"/>
      <c r="CE199" s="24"/>
      <c r="CF199" s="24"/>
      <c r="CG199" s="24"/>
      <c r="CH199" s="24"/>
      <c r="CI199" s="24"/>
      <c r="CJ199" s="24"/>
      <c r="CK199" s="24"/>
      <c r="CL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C199" s="24"/>
      <c r="DD199" s="24"/>
      <c r="DE199" s="24"/>
      <c r="DF199" s="24"/>
      <c r="DG199" s="24"/>
      <c r="DH199" s="24"/>
      <c r="DI199" s="24"/>
      <c r="DJ199" s="24"/>
      <c r="DK199" s="24"/>
      <c r="DL199" s="24"/>
      <c r="DM199" s="24"/>
      <c r="DN199" s="24"/>
      <c r="DO199" s="24"/>
      <c r="DP199" s="24"/>
      <c r="DQ199" s="24"/>
      <c r="DR199" s="24"/>
      <c r="DS199" s="24"/>
      <c r="DT199" s="24"/>
      <c r="DU199" s="24"/>
      <c r="DV199" s="24"/>
      <c r="DW199" s="24"/>
      <c r="DX199" s="24"/>
      <c r="DY199" s="24"/>
      <c r="DZ199" s="24"/>
      <c r="EA199" s="24"/>
      <c r="EB199" s="24"/>
      <c r="EC199" s="24"/>
      <c r="ED199" s="24"/>
      <c r="EE199" s="24"/>
      <c r="EF199" s="24"/>
      <c r="EG199" s="24"/>
      <c r="EH199" s="24"/>
      <c r="EI199" s="24"/>
      <c r="EJ199" s="24"/>
      <c r="EK199" s="24"/>
      <c r="EL199" s="24"/>
      <c r="EM199" s="24"/>
      <c r="EN199" s="24"/>
      <c r="EO199" s="24"/>
      <c r="EP199" s="24"/>
      <c r="EQ199" s="24"/>
      <c r="ER199" s="24"/>
      <c r="ES199" s="24"/>
      <c r="ET199" s="24"/>
      <c r="EU199" s="24"/>
      <c r="EV199" s="24"/>
      <c r="EW199" s="24"/>
      <c r="EX199" s="24"/>
      <c r="EY199" s="24"/>
      <c r="EZ199" s="24"/>
    </row>
    <row r="200" spans="27:156">
      <c r="AA200" s="24"/>
      <c r="AB200" s="31">
        <v>154</v>
      </c>
      <c r="AC200" s="22">
        <v>157</v>
      </c>
      <c r="AD200" s="22">
        <v>150</v>
      </c>
      <c r="AE200" s="22">
        <v>141</v>
      </c>
      <c r="AF200" s="22">
        <v>136</v>
      </c>
      <c r="AG200" s="22">
        <v>131</v>
      </c>
      <c r="AH200" s="22">
        <v>126</v>
      </c>
      <c r="AI200" s="22">
        <v>122</v>
      </c>
      <c r="AJ200" s="22">
        <v>122</v>
      </c>
      <c r="AK200" s="22">
        <v>122</v>
      </c>
      <c r="AL200" s="22">
        <v>121</v>
      </c>
      <c r="AM200" s="22">
        <v>122</v>
      </c>
      <c r="AN200" s="22">
        <v>124</v>
      </c>
      <c r="AO200" s="22">
        <v>125</v>
      </c>
      <c r="AP200" s="22">
        <v>160</v>
      </c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  <c r="CA200" s="24"/>
      <c r="CB200" s="24"/>
      <c r="CC200" s="24"/>
      <c r="CD200" s="24"/>
      <c r="CE200" s="24"/>
      <c r="CF200" s="24"/>
      <c r="CG200" s="24"/>
      <c r="CH200" s="24"/>
      <c r="CI200" s="24"/>
      <c r="CJ200" s="24"/>
      <c r="CK200" s="24"/>
      <c r="CL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C200" s="24"/>
      <c r="DD200" s="24"/>
      <c r="DE200" s="24"/>
      <c r="DF200" s="24"/>
      <c r="DG200" s="24"/>
      <c r="DH200" s="24"/>
      <c r="DI200" s="24"/>
      <c r="DJ200" s="24"/>
      <c r="DK200" s="24"/>
      <c r="DL200" s="24"/>
      <c r="DM200" s="24"/>
      <c r="DN200" s="24"/>
      <c r="DO200" s="24"/>
      <c r="DP200" s="24"/>
      <c r="DQ200" s="24"/>
      <c r="DR200" s="24"/>
      <c r="DS200" s="24"/>
      <c r="DT200" s="24"/>
      <c r="DU200" s="24"/>
      <c r="DV200" s="24"/>
      <c r="DW200" s="24"/>
      <c r="DX200" s="24"/>
      <c r="DY200" s="24"/>
      <c r="DZ200" s="24"/>
      <c r="EA200" s="24"/>
      <c r="EB200" s="24"/>
      <c r="EC200" s="24"/>
      <c r="ED200" s="24"/>
      <c r="EE200" s="24"/>
      <c r="EF200" s="24"/>
      <c r="EG200" s="24"/>
      <c r="EH200" s="24"/>
      <c r="EI200" s="24"/>
      <c r="EJ200" s="24"/>
      <c r="EK200" s="24"/>
      <c r="EL200" s="24"/>
      <c r="EM200" s="24"/>
      <c r="EN200" s="24"/>
      <c r="EO200" s="24"/>
      <c r="EP200" s="24"/>
      <c r="EQ200" s="24"/>
      <c r="ER200" s="24"/>
      <c r="ES200" s="24"/>
      <c r="ET200" s="24"/>
      <c r="EU200" s="24"/>
      <c r="EV200" s="24"/>
      <c r="EW200" s="24"/>
      <c r="EX200" s="24"/>
      <c r="EY200" s="24"/>
      <c r="EZ200" s="24"/>
    </row>
    <row r="201" spans="27:156">
      <c r="AA201" s="24"/>
      <c r="AB201" s="31">
        <v>155</v>
      </c>
      <c r="AC201" s="22">
        <v>157</v>
      </c>
      <c r="AD201" s="22">
        <v>150</v>
      </c>
      <c r="AE201" s="22">
        <v>141</v>
      </c>
      <c r="AF201" s="22">
        <v>136</v>
      </c>
      <c r="AG201" s="22">
        <v>131</v>
      </c>
      <c r="AH201" s="22">
        <v>126</v>
      </c>
      <c r="AI201" s="22">
        <v>122</v>
      </c>
      <c r="AJ201" s="22">
        <v>122</v>
      </c>
      <c r="AK201" s="22">
        <v>122</v>
      </c>
      <c r="AL201" s="22">
        <v>121</v>
      </c>
      <c r="AM201" s="22">
        <v>122</v>
      </c>
      <c r="AN201" s="22">
        <v>124</v>
      </c>
      <c r="AO201" s="22">
        <v>125</v>
      </c>
      <c r="AP201" s="22">
        <v>160</v>
      </c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24"/>
      <c r="CD201" s="24"/>
      <c r="CE201" s="24"/>
      <c r="CF201" s="24"/>
      <c r="CG201" s="24"/>
      <c r="CH201" s="24"/>
      <c r="CI201" s="24"/>
      <c r="CJ201" s="24"/>
      <c r="CK201" s="24"/>
      <c r="CL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C201" s="24"/>
      <c r="DD201" s="24"/>
      <c r="DE201" s="24"/>
      <c r="DF201" s="24"/>
      <c r="DG201" s="24"/>
      <c r="DH201" s="24"/>
      <c r="DI201" s="24"/>
      <c r="DJ201" s="24"/>
      <c r="DK201" s="24"/>
      <c r="DL201" s="24"/>
      <c r="DM201" s="24"/>
      <c r="DN201" s="24"/>
      <c r="DO201" s="24"/>
      <c r="DP201" s="24"/>
      <c r="DQ201" s="24"/>
      <c r="DR201" s="24"/>
      <c r="DS201" s="24"/>
      <c r="DT201" s="24"/>
      <c r="DU201" s="24"/>
      <c r="DV201" s="24"/>
      <c r="DW201" s="24"/>
      <c r="DX201" s="24"/>
      <c r="DY201" s="24"/>
      <c r="DZ201" s="24"/>
      <c r="EA201" s="24"/>
      <c r="EB201" s="24"/>
      <c r="EC201" s="24"/>
      <c r="ED201" s="24"/>
      <c r="EE201" s="24"/>
      <c r="EF201" s="24"/>
      <c r="EG201" s="24"/>
      <c r="EH201" s="24"/>
      <c r="EI201" s="24"/>
      <c r="EJ201" s="24"/>
      <c r="EK201" s="24"/>
      <c r="EL201" s="24"/>
      <c r="EM201" s="24"/>
      <c r="EN201" s="24"/>
      <c r="EO201" s="24"/>
      <c r="EP201" s="24"/>
      <c r="EQ201" s="24"/>
      <c r="ER201" s="24"/>
      <c r="ES201" s="24"/>
      <c r="ET201" s="24"/>
      <c r="EU201" s="24"/>
      <c r="EV201" s="24"/>
      <c r="EW201" s="24"/>
      <c r="EX201" s="24"/>
      <c r="EY201" s="24"/>
      <c r="EZ201" s="24"/>
    </row>
    <row r="202" spans="27:156">
      <c r="AA202" s="24"/>
      <c r="AB202" s="31">
        <v>156</v>
      </c>
      <c r="AC202" s="22">
        <v>157</v>
      </c>
      <c r="AD202" s="22">
        <v>150</v>
      </c>
      <c r="AE202" s="22">
        <v>141</v>
      </c>
      <c r="AF202" s="22">
        <v>136</v>
      </c>
      <c r="AG202" s="22">
        <v>131</v>
      </c>
      <c r="AH202" s="22">
        <v>126</v>
      </c>
      <c r="AI202" s="22">
        <v>122</v>
      </c>
      <c r="AJ202" s="22">
        <v>122</v>
      </c>
      <c r="AK202" s="22">
        <v>122</v>
      </c>
      <c r="AL202" s="22">
        <v>121</v>
      </c>
      <c r="AM202" s="22">
        <v>122</v>
      </c>
      <c r="AN202" s="22">
        <v>124</v>
      </c>
      <c r="AO202" s="22">
        <v>125</v>
      </c>
      <c r="AP202" s="22">
        <v>160</v>
      </c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  <c r="CA202" s="24"/>
      <c r="CB202" s="24"/>
      <c r="CC202" s="24"/>
      <c r="CD202" s="24"/>
      <c r="CE202" s="24"/>
      <c r="CF202" s="24"/>
      <c r="CG202" s="24"/>
      <c r="CH202" s="24"/>
      <c r="CI202" s="24"/>
      <c r="CJ202" s="24"/>
      <c r="CK202" s="24"/>
      <c r="CL202" s="24"/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  <c r="CW202" s="24"/>
      <c r="CX202" s="24"/>
      <c r="CY202" s="24"/>
      <c r="CZ202" s="24"/>
      <c r="DA202" s="24"/>
      <c r="DB202" s="24"/>
      <c r="DC202" s="24"/>
      <c r="DD202" s="24"/>
      <c r="DE202" s="24"/>
      <c r="DF202" s="24"/>
      <c r="DG202" s="24"/>
      <c r="DH202" s="24"/>
      <c r="DI202" s="24"/>
      <c r="DJ202" s="24"/>
      <c r="DK202" s="24"/>
      <c r="DL202" s="24"/>
      <c r="DM202" s="24"/>
      <c r="DN202" s="24"/>
      <c r="DO202" s="24"/>
      <c r="DP202" s="24"/>
      <c r="DQ202" s="24"/>
      <c r="DR202" s="24"/>
      <c r="DS202" s="24"/>
      <c r="DT202" s="24"/>
      <c r="DU202" s="24"/>
      <c r="DV202" s="24"/>
      <c r="DW202" s="24"/>
      <c r="DX202" s="24"/>
      <c r="DY202" s="24"/>
      <c r="DZ202" s="24"/>
      <c r="EA202" s="24"/>
      <c r="EB202" s="24"/>
      <c r="EC202" s="24"/>
      <c r="ED202" s="24"/>
      <c r="EE202" s="24"/>
      <c r="EF202" s="24"/>
      <c r="EG202" s="24"/>
      <c r="EH202" s="24"/>
      <c r="EI202" s="24"/>
      <c r="EJ202" s="24"/>
      <c r="EK202" s="24"/>
      <c r="EL202" s="24"/>
      <c r="EM202" s="24"/>
      <c r="EN202" s="24"/>
      <c r="EO202" s="24"/>
      <c r="EP202" s="24"/>
      <c r="EQ202" s="24"/>
      <c r="ER202" s="24"/>
      <c r="ES202" s="24"/>
      <c r="ET202" s="24"/>
      <c r="EU202" s="24"/>
      <c r="EV202" s="24"/>
      <c r="EW202" s="24"/>
      <c r="EX202" s="24"/>
      <c r="EY202" s="24"/>
      <c r="EZ202" s="24"/>
    </row>
    <row r="203" spans="27:156">
      <c r="AA203" s="24"/>
      <c r="AB203" s="31">
        <v>157</v>
      </c>
      <c r="AC203" s="22">
        <v>157</v>
      </c>
      <c r="AD203" s="22">
        <v>150</v>
      </c>
      <c r="AE203" s="22">
        <v>141</v>
      </c>
      <c r="AF203" s="22">
        <v>136</v>
      </c>
      <c r="AG203" s="22">
        <v>131</v>
      </c>
      <c r="AH203" s="22">
        <v>126</v>
      </c>
      <c r="AI203" s="22">
        <v>122</v>
      </c>
      <c r="AJ203" s="22">
        <v>122</v>
      </c>
      <c r="AK203" s="22">
        <v>122</v>
      </c>
      <c r="AL203" s="22">
        <v>121</v>
      </c>
      <c r="AM203" s="22">
        <v>122</v>
      </c>
      <c r="AN203" s="22">
        <v>124</v>
      </c>
      <c r="AO203" s="22">
        <v>125</v>
      </c>
      <c r="AP203" s="22">
        <v>160</v>
      </c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4"/>
      <c r="CA203" s="24"/>
      <c r="CB203" s="24"/>
      <c r="CC203" s="24"/>
      <c r="CD203" s="24"/>
      <c r="CE203" s="24"/>
      <c r="CF203" s="24"/>
      <c r="CG203" s="24"/>
      <c r="CH203" s="24"/>
      <c r="CI203" s="24"/>
      <c r="CJ203" s="24"/>
      <c r="CK203" s="24"/>
      <c r="CL203" s="24"/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  <c r="CW203" s="24"/>
      <c r="CX203" s="24"/>
      <c r="CY203" s="24"/>
      <c r="CZ203" s="24"/>
      <c r="DA203" s="24"/>
      <c r="DB203" s="24"/>
      <c r="DC203" s="24"/>
      <c r="DD203" s="24"/>
      <c r="DE203" s="24"/>
      <c r="DF203" s="24"/>
      <c r="DG203" s="24"/>
      <c r="DH203" s="24"/>
      <c r="DI203" s="24"/>
      <c r="DJ203" s="24"/>
      <c r="DK203" s="24"/>
      <c r="DL203" s="24"/>
      <c r="DM203" s="24"/>
      <c r="DN203" s="24"/>
      <c r="DO203" s="24"/>
      <c r="DP203" s="24"/>
      <c r="DQ203" s="24"/>
      <c r="DR203" s="24"/>
      <c r="DS203" s="24"/>
      <c r="DT203" s="24"/>
      <c r="DU203" s="24"/>
      <c r="DV203" s="24"/>
      <c r="DW203" s="24"/>
      <c r="DX203" s="24"/>
      <c r="DY203" s="24"/>
      <c r="DZ203" s="24"/>
      <c r="EA203" s="24"/>
      <c r="EB203" s="24"/>
      <c r="EC203" s="24"/>
      <c r="ED203" s="24"/>
      <c r="EE203" s="24"/>
      <c r="EF203" s="24"/>
      <c r="EG203" s="24"/>
      <c r="EH203" s="24"/>
      <c r="EI203" s="24"/>
      <c r="EJ203" s="24"/>
      <c r="EK203" s="24"/>
      <c r="EL203" s="24"/>
      <c r="EM203" s="24"/>
      <c r="EN203" s="24"/>
      <c r="EO203" s="24"/>
      <c r="EP203" s="24"/>
      <c r="EQ203" s="24"/>
      <c r="ER203" s="24"/>
      <c r="ES203" s="24"/>
      <c r="ET203" s="24"/>
      <c r="EU203" s="24"/>
      <c r="EV203" s="24"/>
      <c r="EW203" s="24"/>
      <c r="EX203" s="24"/>
      <c r="EY203" s="24"/>
      <c r="EZ203" s="24"/>
    </row>
    <row r="204" spans="27:156">
      <c r="AA204" s="24"/>
      <c r="AB204" s="31">
        <v>158</v>
      </c>
      <c r="AC204" s="22">
        <v>157</v>
      </c>
      <c r="AD204" s="22">
        <v>150</v>
      </c>
      <c r="AE204" s="22">
        <v>141</v>
      </c>
      <c r="AF204" s="22">
        <v>136</v>
      </c>
      <c r="AG204" s="22">
        <v>131</v>
      </c>
      <c r="AH204" s="22">
        <v>126</v>
      </c>
      <c r="AI204" s="22">
        <v>122</v>
      </c>
      <c r="AJ204" s="22">
        <v>122</v>
      </c>
      <c r="AK204" s="22">
        <v>122</v>
      </c>
      <c r="AL204" s="22">
        <v>121</v>
      </c>
      <c r="AM204" s="22">
        <v>122</v>
      </c>
      <c r="AN204" s="22">
        <v>124</v>
      </c>
      <c r="AO204" s="22">
        <v>125</v>
      </c>
      <c r="AP204" s="22">
        <v>160</v>
      </c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  <c r="CA204" s="24"/>
      <c r="CB204" s="24"/>
      <c r="CC204" s="24"/>
      <c r="CD204" s="24"/>
      <c r="CE204" s="24"/>
      <c r="CF204" s="24"/>
      <c r="CG204" s="24"/>
      <c r="CH204" s="24"/>
      <c r="CI204" s="24"/>
      <c r="CJ204" s="24"/>
      <c r="CK204" s="24"/>
      <c r="CL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C204" s="24"/>
      <c r="DD204" s="24"/>
      <c r="DE204" s="24"/>
      <c r="DF204" s="24"/>
      <c r="DG204" s="24"/>
      <c r="DH204" s="24"/>
      <c r="DI204" s="24"/>
      <c r="DJ204" s="24"/>
      <c r="DK204" s="24"/>
      <c r="DL204" s="24"/>
      <c r="DM204" s="24"/>
      <c r="DN204" s="24"/>
      <c r="DO204" s="24"/>
      <c r="DP204" s="24"/>
      <c r="DQ204" s="24"/>
      <c r="DR204" s="24"/>
      <c r="DS204" s="24"/>
      <c r="DT204" s="24"/>
      <c r="DU204" s="24"/>
      <c r="DV204" s="24"/>
      <c r="DW204" s="24"/>
      <c r="DX204" s="24"/>
      <c r="DY204" s="24"/>
      <c r="DZ204" s="24"/>
      <c r="EA204" s="24"/>
      <c r="EB204" s="24"/>
      <c r="EC204" s="24"/>
      <c r="ED204" s="24"/>
      <c r="EE204" s="24"/>
      <c r="EF204" s="24"/>
      <c r="EG204" s="24"/>
      <c r="EH204" s="24"/>
      <c r="EI204" s="24"/>
      <c r="EJ204" s="24"/>
      <c r="EK204" s="24"/>
      <c r="EL204" s="24"/>
      <c r="EM204" s="24"/>
      <c r="EN204" s="24"/>
      <c r="EO204" s="24"/>
      <c r="EP204" s="24"/>
      <c r="EQ204" s="24"/>
      <c r="ER204" s="24"/>
      <c r="ES204" s="24"/>
      <c r="ET204" s="24"/>
      <c r="EU204" s="24"/>
      <c r="EV204" s="24"/>
      <c r="EW204" s="24"/>
      <c r="EX204" s="24"/>
      <c r="EY204" s="24"/>
      <c r="EZ204" s="24"/>
    </row>
    <row r="205" spans="27:156">
      <c r="AA205" s="24"/>
      <c r="AB205" s="31">
        <v>159</v>
      </c>
      <c r="AC205" s="22">
        <v>157</v>
      </c>
      <c r="AD205" s="22">
        <v>150</v>
      </c>
      <c r="AE205" s="22">
        <v>141</v>
      </c>
      <c r="AF205" s="22">
        <v>136</v>
      </c>
      <c r="AG205" s="22">
        <v>131</v>
      </c>
      <c r="AH205" s="22">
        <v>126</v>
      </c>
      <c r="AI205" s="22">
        <v>122</v>
      </c>
      <c r="AJ205" s="22">
        <v>122</v>
      </c>
      <c r="AK205" s="22">
        <v>122</v>
      </c>
      <c r="AL205" s="22">
        <v>121</v>
      </c>
      <c r="AM205" s="22">
        <v>122</v>
      </c>
      <c r="AN205" s="22">
        <v>124</v>
      </c>
      <c r="AO205" s="22">
        <v>125</v>
      </c>
      <c r="AP205" s="22">
        <v>160</v>
      </c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  <c r="CA205" s="24"/>
      <c r="CB205" s="24"/>
      <c r="CC205" s="24"/>
      <c r="CD205" s="24"/>
      <c r="CE205" s="24"/>
      <c r="CF205" s="24"/>
      <c r="CG205" s="24"/>
      <c r="CH205" s="24"/>
      <c r="CI205" s="24"/>
      <c r="CJ205" s="24"/>
      <c r="CK205" s="24"/>
      <c r="CL205" s="24"/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  <c r="DC205" s="24"/>
      <c r="DD205" s="24"/>
      <c r="DE205" s="24"/>
      <c r="DF205" s="24"/>
      <c r="DG205" s="24"/>
      <c r="DH205" s="24"/>
      <c r="DI205" s="24"/>
      <c r="DJ205" s="24"/>
      <c r="DK205" s="24"/>
      <c r="DL205" s="24"/>
      <c r="DM205" s="24"/>
      <c r="DN205" s="24"/>
      <c r="DO205" s="24"/>
      <c r="DP205" s="24"/>
      <c r="DQ205" s="24"/>
      <c r="DR205" s="24"/>
      <c r="DS205" s="24"/>
      <c r="DT205" s="24"/>
      <c r="DU205" s="24"/>
      <c r="DV205" s="24"/>
      <c r="DW205" s="24"/>
      <c r="DX205" s="24"/>
      <c r="DY205" s="24"/>
      <c r="DZ205" s="24"/>
      <c r="EA205" s="24"/>
      <c r="EB205" s="24"/>
      <c r="EC205" s="24"/>
      <c r="ED205" s="24"/>
      <c r="EE205" s="24"/>
      <c r="EF205" s="24"/>
      <c r="EG205" s="24"/>
      <c r="EH205" s="24"/>
      <c r="EI205" s="24"/>
      <c r="EJ205" s="24"/>
      <c r="EK205" s="24"/>
      <c r="EL205" s="24"/>
      <c r="EM205" s="24"/>
      <c r="EN205" s="24"/>
      <c r="EO205" s="24"/>
      <c r="EP205" s="24"/>
      <c r="EQ205" s="24"/>
      <c r="ER205" s="24"/>
      <c r="ES205" s="24"/>
      <c r="ET205" s="24"/>
      <c r="EU205" s="24"/>
      <c r="EV205" s="24"/>
      <c r="EW205" s="24"/>
      <c r="EX205" s="24"/>
      <c r="EY205" s="24"/>
      <c r="EZ205" s="24"/>
    </row>
    <row r="206" spans="27:156">
      <c r="AA206" s="24"/>
      <c r="AB206" s="31">
        <v>160</v>
      </c>
      <c r="AC206" s="22">
        <v>157</v>
      </c>
      <c r="AD206" s="22">
        <v>150</v>
      </c>
      <c r="AE206" s="22">
        <v>141</v>
      </c>
      <c r="AF206" s="22">
        <v>136</v>
      </c>
      <c r="AG206" s="22">
        <v>131</v>
      </c>
      <c r="AH206" s="22">
        <v>126</v>
      </c>
      <c r="AI206" s="22">
        <v>122</v>
      </c>
      <c r="AJ206" s="22">
        <v>122</v>
      </c>
      <c r="AK206" s="22">
        <v>122</v>
      </c>
      <c r="AL206" s="22">
        <v>121</v>
      </c>
      <c r="AM206" s="22">
        <v>122</v>
      </c>
      <c r="AN206" s="22">
        <v>124</v>
      </c>
      <c r="AO206" s="22">
        <v>125</v>
      </c>
      <c r="AP206" s="22">
        <v>160</v>
      </c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24"/>
      <c r="CD206" s="24"/>
      <c r="CE206" s="24"/>
      <c r="CF206" s="24"/>
      <c r="CG206" s="24"/>
      <c r="CH206" s="24"/>
      <c r="CI206" s="24"/>
      <c r="CJ206" s="24"/>
      <c r="CK206" s="24"/>
      <c r="CL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C206" s="24"/>
      <c r="DD206" s="24"/>
      <c r="DE206" s="24"/>
      <c r="DF206" s="24"/>
      <c r="DG206" s="24"/>
      <c r="DH206" s="24"/>
      <c r="DI206" s="24"/>
      <c r="DJ206" s="24"/>
      <c r="DK206" s="24"/>
      <c r="DL206" s="24"/>
      <c r="DM206" s="24"/>
      <c r="DN206" s="24"/>
      <c r="DO206" s="24"/>
      <c r="DP206" s="24"/>
      <c r="DQ206" s="24"/>
      <c r="DR206" s="24"/>
      <c r="DS206" s="24"/>
      <c r="DT206" s="24"/>
      <c r="DU206" s="24"/>
      <c r="DV206" s="24"/>
      <c r="DW206" s="24"/>
      <c r="DX206" s="24"/>
      <c r="DY206" s="24"/>
      <c r="DZ206" s="24"/>
      <c r="EA206" s="24"/>
      <c r="EB206" s="24"/>
      <c r="EC206" s="24"/>
      <c r="ED206" s="24"/>
      <c r="EE206" s="24"/>
      <c r="EF206" s="24"/>
      <c r="EG206" s="24"/>
      <c r="EH206" s="24"/>
      <c r="EI206" s="24"/>
      <c r="EJ206" s="24"/>
      <c r="EK206" s="24"/>
      <c r="EL206" s="24"/>
      <c r="EM206" s="24"/>
      <c r="EN206" s="24"/>
      <c r="EO206" s="24"/>
      <c r="EP206" s="24"/>
      <c r="EQ206" s="24"/>
      <c r="ER206" s="24"/>
      <c r="ES206" s="24"/>
      <c r="ET206" s="24"/>
      <c r="EU206" s="24"/>
      <c r="EV206" s="24"/>
      <c r="EW206" s="24"/>
      <c r="EX206" s="24"/>
      <c r="EY206" s="24"/>
      <c r="EZ206" s="24"/>
    </row>
    <row r="207" spans="27:156">
      <c r="AA207" s="24"/>
      <c r="AB207" s="31">
        <v>161</v>
      </c>
      <c r="AC207" s="22">
        <v>163</v>
      </c>
      <c r="AD207" s="22">
        <v>156</v>
      </c>
      <c r="AE207" s="22">
        <v>146</v>
      </c>
      <c r="AF207" s="22">
        <v>140</v>
      </c>
      <c r="AG207" s="22">
        <v>135</v>
      </c>
      <c r="AH207" s="22">
        <v>130</v>
      </c>
      <c r="AI207" s="22">
        <v>126</v>
      </c>
      <c r="AJ207" s="22">
        <v>126</v>
      </c>
      <c r="AK207" s="22">
        <v>125</v>
      </c>
      <c r="AL207" s="22">
        <v>125</v>
      </c>
      <c r="AM207" s="22">
        <v>126</v>
      </c>
      <c r="AN207" s="22">
        <v>128</v>
      </c>
      <c r="AO207" s="22">
        <v>129</v>
      </c>
      <c r="AP207" s="22">
        <v>160</v>
      </c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B207" s="24"/>
      <c r="CC207" s="24"/>
      <c r="CD207" s="24"/>
      <c r="CE207" s="24"/>
      <c r="CF207" s="24"/>
      <c r="CG207" s="24"/>
      <c r="CH207" s="24"/>
      <c r="CI207" s="24"/>
      <c r="CJ207" s="24"/>
      <c r="CK207" s="24"/>
      <c r="CL207" s="24"/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  <c r="CW207" s="24"/>
      <c r="CX207" s="24"/>
      <c r="CY207" s="24"/>
      <c r="CZ207" s="24"/>
      <c r="DA207" s="24"/>
      <c r="DB207" s="24"/>
      <c r="DC207" s="24"/>
      <c r="DD207" s="24"/>
      <c r="DE207" s="24"/>
      <c r="DF207" s="24"/>
      <c r="DG207" s="24"/>
      <c r="DH207" s="24"/>
      <c r="DI207" s="24"/>
      <c r="DJ207" s="24"/>
      <c r="DK207" s="24"/>
      <c r="DL207" s="24"/>
      <c r="DM207" s="24"/>
      <c r="DN207" s="24"/>
      <c r="DO207" s="24"/>
      <c r="DP207" s="24"/>
      <c r="DQ207" s="24"/>
      <c r="DR207" s="24"/>
      <c r="DS207" s="24"/>
      <c r="DT207" s="24"/>
      <c r="DU207" s="24"/>
      <c r="DV207" s="24"/>
      <c r="DW207" s="24"/>
      <c r="DX207" s="24"/>
      <c r="DY207" s="24"/>
      <c r="DZ207" s="24"/>
      <c r="EA207" s="24"/>
      <c r="EB207" s="24"/>
      <c r="EC207" s="24"/>
      <c r="ED207" s="24"/>
      <c r="EE207" s="24"/>
      <c r="EF207" s="24"/>
      <c r="EG207" s="24"/>
      <c r="EH207" s="24"/>
      <c r="EI207" s="24"/>
      <c r="EJ207" s="24"/>
      <c r="EK207" s="24"/>
      <c r="EL207" s="24"/>
      <c r="EM207" s="24"/>
      <c r="EN207" s="24"/>
      <c r="EO207" s="24"/>
      <c r="EP207" s="24"/>
      <c r="EQ207" s="24"/>
      <c r="ER207" s="24"/>
      <c r="ES207" s="24"/>
      <c r="ET207" s="24"/>
      <c r="EU207" s="24"/>
      <c r="EV207" s="24"/>
      <c r="EW207" s="24"/>
      <c r="EX207" s="24"/>
      <c r="EY207" s="24"/>
      <c r="EZ207" s="24"/>
    </row>
    <row r="208" spans="27:156">
      <c r="AA208" s="24"/>
      <c r="AB208" s="31">
        <v>162</v>
      </c>
      <c r="AC208" s="22">
        <v>163</v>
      </c>
      <c r="AD208" s="22">
        <v>156</v>
      </c>
      <c r="AE208" s="22">
        <v>146</v>
      </c>
      <c r="AF208" s="22">
        <v>140</v>
      </c>
      <c r="AG208" s="22">
        <v>135</v>
      </c>
      <c r="AH208" s="22">
        <v>130</v>
      </c>
      <c r="AI208" s="22">
        <v>126</v>
      </c>
      <c r="AJ208" s="22">
        <v>126</v>
      </c>
      <c r="AK208" s="22">
        <v>125</v>
      </c>
      <c r="AL208" s="22">
        <v>125</v>
      </c>
      <c r="AM208" s="22">
        <v>126</v>
      </c>
      <c r="AN208" s="22">
        <v>128</v>
      </c>
      <c r="AO208" s="22">
        <v>129</v>
      </c>
      <c r="AP208" s="22">
        <v>160</v>
      </c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4"/>
      <c r="CA208" s="24"/>
      <c r="CB208" s="24"/>
      <c r="CC208" s="24"/>
      <c r="CD208" s="24"/>
      <c r="CE208" s="24"/>
      <c r="CF208" s="24"/>
      <c r="CG208" s="24"/>
      <c r="CH208" s="24"/>
      <c r="CI208" s="24"/>
      <c r="CJ208" s="24"/>
      <c r="CK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C208" s="24"/>
      <c r="DD208" s="24"/>
      <c r="DE208" s="24"/>
      <c r="DF208" s="24"/>
      <c r="DG208" s="24"/>
      <c r="DH208" s="24"/>
      <c r="DI208" s="24"/>
      <c r="DJ208" s="24"/>
      <c r="DK208" s="24"/>
      <c r="DL208" s="24"/>
      <c r="DM208" s="24"/>
      <c r="DN208" s="24"/>
      <c r="DO208" s="24"/>
      <c r="DP208" s="24"/>
      <c r="DQ208" s="24"/>
      <c r="DR208" s="24"/>
      <c r="DS208" s="24"/>
      <c r="DT208" s="24"/>
      <c r="DU208" s="24"/>
      <c r="DV208" s="24"/>
      <c r="DW208" s="24"/>
      <c r="DX208" s="24"/>
      <c r="DY208" s="24"/>
      <c r="DZ208" s="24"/>
      <c r="EA208" s="24"/>
      <c r="EB208" s="24"/>
      <c r="EC208" s="24"/>
      <c r="ED208" s="24"/>
      <c r="EE208" s="24"/>
      <c r="EF208" s="24"/>
      <c r="EG208" s="24"/>
      <c r="EH208" s="24"/>
      <c r="EI208" s="24"/>
      <c r="EJ208" s="24"/>
      <c r="EK208" s="24"/>
      <c r="EL208" s="24"/>
      <c r="EM208" s="24"/>
      <c r="EN208" s="24"/>
      <c r="EO208" s="24"/>
      <c r="EP208" s="24"/>
      <c r="EQ208" s="24"/>
      <c r="ER208" s="24"/>
      <c r="ES208" s="24"/>
      <c r="ET208" s="24"/>
      <c r="EU208" s="24"/>
      <c r="EV208" s="24"/>
      <c r="EW208" s="24"/>
      <c r="EX208" s="24"/>
      <c r="EY208" s="24"/>
      <c r="EZ208" s="24"/>
    </row>
    <row r="209" spans="27:156">
      <c r="AA209" s="24"/>
      <c r="AB209" s="31">
        <v>163</v>
      </c>
      <c r="AC209" s="22">
        <v>163</v>
      </c>
      <c r="AD209" s="22">
        <v>156</v>
      </c>
      <c r="AE209" s="22">
        <v>146</v>
      </c>
      <c r="AF209" s="22">
        <v>140</v>
      </c>
      <c r="AG209" s="22">
        <v>135</v>
      </c>
      <c r="AH209" s="22">
        <v>130</v>
      </c>
      <c r="AI209" s="22">
        <v>126</v>
      </c>
      <c r="AJ209" s="22">
        <v>126</v>
      </c>
      <c r="AK209" s="22">
        <v>125</v>
      </c>
      <c r="AL209" s="22">
        <v>125</v>
      </c>
      <c r="AM209" s="22">
        <v>126</v>
      </c>
      <c r="AN209" s="22">
        <v>128</v>
      </c>
      <c r="AO209" s="22">
        <v>129</v>
      </c>
      <c r="AP209" s="22">
        <v>160</v>
      </c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  <c r="CA209" s="24"/>
      <c r="CB209" s="24"/>
      <c r="CC209" s="24"/>
      <c r="CD209" s="24"/>
      <c r="CE209" s="24"/>
      <c r="CF209" s="24"/>
      <c r="CG209" s="24"/>
      <c r="CH209" s="24"/>
      <c r="CI209" s="24"/>
      <c r="CJ209" s="24"/>
      <c r="CK209" s="24"/>
      <c r="CL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C209" s="24"/>
      <c r="DD209" s="24"/>
      <c r="DE209" s="24"/>
      <c r="DF209" s="24"/>
      <c r="DG209" s="24"/>
      <c r="DH209" s="24"/>
      <c r="DI209" s="24"/>
      <c r="DJ209" s="24"/>
      <c r="DK209" s="24"/>
      <c r="DL209" s="24"/>
      <c r="DM209" s="24"/>
      <c r="DN209" s="24"/>
      <c r="DO209" s="24"/>
      <c r="DP209" s="24"/>
      <c r="DQ209" s="24"/>
      <c r="DR209" s="24"/>
      <c r="DS209" s="24"/>
      <c r="DT209" s="24"/>
      <c r="DU209" s="24"/>
      <c r="DV209" s="24"/>
      <c r="DW209" s="24"/>
      <c r="DX209" s="24"/>
      <c r="DY209" s="24"/>
      <c r="DZ209" s="24"/>
      <c r="EA209" s="24"/>
      <c r="EB209" s="24"/>
      <c r="EC209" s="24"/>
      <c r="ED209" s="24"/>
      <c r="EE209" s="24"/>
      <c r="EF209" s="24"/>
      <c r="EG209" s="24"/>
      <c r="EH209" s="24"/>
      <c r="EI209" s="24"/>
      <c r="EJ209" s="24"/>
      <c r="EK209" s="24"/>
      <c r="EL209" s="24"/>
      <c r="EM209" s="24"/>
      <c r="EN209" s="24"/>
      <c r="EO209" s="24"/>
      <c r="EP209" s="24"/>
      <c r="EQ209" s="24"/>
      <c r="ER209" s="24"/>
      <c r="ES209" s="24"/>
      <c r="ET209" s="24"/>
      <c r="EU209" s="24"/>
      <c r="EV209" s="24"/>
      <c r="EW209" s="24"/>
      <c r="EX209" s="24"/>
      <c r="EY209" s="24"/>
      <c r="EZ209" s="24"/>
    </row>
    <row r="210" spans="27:156">
      <c r="AA210" s="24"/>
      <c r="AB210" s="31">
        <v>164</v>
      </c>
      <c r="AC210" s="22">
        <v>163</v>
      </c>
      <c r="AD210" s="22">
        <v>156</v>
      </c>
      <c r="AE210" s="22">
        <v>146</v>
      </c>
      <c r="AF210" s="22">
        <v>140</v>
      </c>
      <c r="AG210" s="22">
        <v>135</v>
      </c>
      <c r="AH210" s="22">
        <v>130</v>
      </c>
      <c r="AI210" s="22">
        <v>126</v>
      </c>
      <c r="AJ210" s="22">
        <v>126</v>
      </c>
      <c r="AK210" s="22">
        <v>125</v>
      </c>
      <c r="AL210" s="22">
        <v>125</v>
      </c>
      <c r="AM210" s="22">
        <v>126</v>
      </c>
      <c r="AN210" s="22">
        <v>128</v>
      </c>
      <c r="AO210" s="22">
        <v>129</v>
      </c>
      <c r="AP210" s="22">
        <v>160</v>
      </c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  <c r="CA210" s="24"/>
      <c r="CB210" s="24"/>
      <c r="CC210" s="24"/>
      <c r="CD210" s="24"/>
      <c r="CE210" s="24"/>
      <c r="CF210" s="24"/>
      <c r="CG210" s="24"/>
      <c r="CH210" s="24"/>
      <c r="CI210" s="24"/>
      <c r="CJ210" s="24"/>
      <c r="CK210" s="24"/>
      <c r="CL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C210" s="24"/>
      <c r="DD210" s="24"/>
      <c r="DE210" s="24"/>
      <c r="DF210" s="24"/>
      <c r="DG210" s="24"/>
      <c r="DH210" s="24"/>
      <c r="DI210" s="24"/>
      <c r="DJ210" s="24"/>
      <c r="DK210" s="24"/>
      <c r="DL210" s="24"/>
      <c r="DM210" s="24"/>
      <c r="DN210" s="24"/>
      <c r="DO210" s="24"/>
      <c r="DP210" s="24"/>
      <c r="DQ210" s="24"/>
      <c r="DR210" s="24"/>
      <c r="DS210" s="24"/>
      <c r="DT210" s="24"/>
      <c r="DU210" s="24"/>
      <c r="DV210" s="24"/>
      <c r="DW210" s="24"/>
      <c r="DX210" s="24"/>
      <c r="DY210" s="24"/>
      <c r="DZ210" s="24"/>
      <c r="EA210" s="24"/>
      <c r="EB210" s="24"/>
      <c r="EC210" s="24"/>
      <c r="ED210" s="24"/>
      <c r="EE210" s="24"/>
      <c r="EF210" s="24"/>
      <c r="EG210" s="24"/>
      <c r="EH210" s="24"/>
      <c r="EI210" s="24"/>
      <c r="EJ210" s="24"/>
      <c r="EK210" s="24"/>
      <c r="EL210" s="24"/>
      <c r="EM210" s="24"/>
      <c r="EN210" s="24"/>
      <c r="EO210" s="24"/>
      <c r="EP210" s="24"/>
      <c r="EQ210" s="24"/>
      <c r="ER210" s="24"/>
      <c r="ES210" s="24"/>
      <c r="ET210" s="24"/>
      <c r="EU210" s="24"/>
      <c r="EV210" s="24"/>
      <c r="EW210" s="24"/>
      <c r="EX210" s="24"/>
      <c r="EY210" s="24"/>
      <c r="EZ210" s="24"/>
    </row>
    <row r="211" spans="27:156">
      <c r="AA211" s="24"/>
      <c r="AB211" s="31">
        <v>165</v>
      </c>
      <c r="AC211" s="22">
        <v>163</v>
      </c>
      <c r="AD211" s="22">
        <v>156</v>
      </c>
      <c r="AE211" s="22">
        <v>146</v>
      </c>
      <c r="AF211" s="22">
        <v>140</v>
      </c>
      <c r="AG211" s="22">
        <v>135</v>
      </c>
      <c r="AH211" s="22">
        <v>130</v>
      </c>
      <c r="AI211" s="22">
        <v>126</v>
      </c>
      <c r="AJ211" s="22">
        <v>126</v>
      </c>
      <c r="AK211" s="22">
        <v>125</v>
      </c>
      <c r="AL211" s="22">
        <v>125</v>
      </c>
      <c r="AM211" s="22">
        <v>126</v>
      </c>
      <c r="AN211" s="22">
        <v>128</v>
      </c>
      <c r="AO211" s="22">
        <v>129</v>
      </c>
      <c r="AP211" s="22">
        <v>160</v>
      </c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24"/>
      <c r="CD211" s="24"/>
      <c r="CE211" s="24"/>
      <c r="CF211" s="24"/>
      <c r="CG211" s="24"/>
      <c r="CH211" s="24"/>
      <c r="CI211" s="24"/>
      <c r="CJ211" s="24"/>
      <c r="CK211" s="24"/>
      <c r="CL211" s="24"/>
      <c r="CM211" s="24"/>
      <c r="CN211" s="24"/>
      <c r="CO211" s="24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  <c r="DA211" s="24"/>
      <c r="DB211" s="24"/>
      <c r="DC211" s="24"/>
      <c r="DD211" s="24"/>
      <c r="DE211" s="24"/>
      <c r="DF211" s="24"/>
      <c r="DG211" s="24"/>
      <c r="DH211" s="24"/>
      <c r="DI211" s="24"/>
      <c r="DJ211" s="24"/>
      <c r="DK211" s="24"/>
      <c r="DL211" s="24"/>
      <c r="DM211" s="24"/>
      <c r="DN211" s="24"/>
      <c r="DO211" s="24"/>
      <c r="DP211" s="24"/>
      <c r="DQ211" s="24"/>
      <c r="DR211" s="24"/>
      <c r="DS211" s="24"/>
      <c r="DT211" s="24"/>
      <c r="DU211" s="24"/>
      <c r="DV211" s="24"/>
      <c r="DW211" s="24"/>
      <c r="DX211" s="24"/>
      <c r="DY211" s="24"/>
      <c r="DZ211" s="24"/>
      <c r="EA211" s="24"/>
      <c r="EB211" s="24"/>
      <c r="EC211" s="24"/>
      <c r="ED211" s="24"/>
      <c r="EE211" s="24"/>
      <c r="EF211" s="24"/>
      <c r="EG211" s="24"/>
      <c r="EH211" s="24"/>
      <c r="EI211" s="24"/>
      <c r="EJ211" s="24"/>
      <c r="EK211" s="24"/>
      <c r="EL211" s="24"/>
      <c r="EM211" s="24"/>
      <c r="EN211" s="24"/>
      <c r="EO211" s="24"/>
      <c r="EP211" s="24"/>
      <c r="EQ211" s="24"/>
      <c r="ER211" s="24"/>
      <c r="ES211" s="24"/>
      <c r="ET211" s="24"/>
      <c r="EU211" s="24"/>
      <c r="EV211" s="24"/>
      <c r="EW211" s="24"/>
      <c r="EX211" s="24"/>
      <c r="EY211" s="24"/>
      <c r="EZ211" s="24"/>
    </row>
    <row r="212" spans="27:156">
      <c r="AA212" s="24"/>
      <c r="AB212" s="31">
        <v>166</v>
      </c>
      <c r="AC212" s="22">
        <v>163</v>
      </c>
      <c r="AD212" s="22">
        <v>156</v>
      </c>
      <c r="AE212" s="22">
        <v>146</v>
      </c>
      <c r="AF212" s="22">
        <v>140</v>
      </c>
      <c r="AG212" s="22">
        <v>135</v>
      </c>
      <c r="AH212" s="22">
        <v>130</v>
      </c>
      <c r="AI212" s="22">
        <v>126</v>
      </c>
      <c r="AJ212" s="22">
        <v>126</v>
      </c>
      <c r="AK212" s="22">
        <v>125</v>
      </c>
      <c r="AL212" s="22">
        <v>125</v>
      </c>
      <c r="AM212" s="22">
        <v>126</v>
      </c>
      <c r="AN212" s="22">
        <v>128</v>
      </c>
      <c r="AO212" s="22">
        <v>129</v>
      </c>
      <c r="AP212" s="22">
        <v>160</v>
      </c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  <c r="CA212" s="24"/>
      <c r="CB212" s="24"/>
      <c r="CC212" s="24"/>
      <c r="CD212" s="24"/>
      <c r="CE212" s="24"/>
      <c r="CF212" s="24"/>
      <c r="CG212" s="24"/>
      <c r="CH212" s="24"/>
      <c r="CI212" s="24"/>
      <c r="CJ212" s="24"/>
      <c r="CK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C212" s="24"/>
      <c r="DD212" s="24"/>
      <c r="DE212" s="24"/>
      <c r="DF212" s="24"/>
      <c r="DG212" s="24"/>
      <c r="DH212" s="24"/>
      <c r="DI212" s="24"/>
      <c r="DJ212" s="24"/>
      <c r="DK212" s="24"/>
      <c r="DL212" s="24"/>
      <c r="DM212" s="24"/>
      <c r="DN212" s="24"/>
      <c r="DO212" s="24"/>
      <c r="DP212" s="24"/>
      <c r="DQ212" s="24"/>
      <c r="DR212" s="24"/>
      <c r="DS212" s="24"/>
      <c r="DT212" s="24"/>
      <c r="DU212" s="24"/>
      <c r="DV212" s="24"/>
      <c r="DW212" s="24"/>
      <c r="DX212" s="24"/>
      <c r="DY212" s="24"/>
      <c r="DZ212" s="24"/>
      <c r="EA212" s="24"/>
      <c r="EB212" s="24"/>
      <c r="EC212" s="24"/>
      <c r="ED212" s="24"/>
      <c r="EE212" s="24"/>
      <c r="EF212" s="24"/>
      <c r="EG212" s="24"/>
      <c r="EH212" s="24"/>
      <c r="EI212" s="24"/>
      <c r="EJ212" s="24"/>
      <c r="EK212" s="24"/>
      <c r="EL212" s="24"/>
      <c r="EM212" s="24"/>
      <c r="EN212" s="24"/>
      <c r="EO212" s="24"/>
      <c r="EP212" s="24"/>
      <c r="EQ212" s="24"/>
      <c r="ER212" s="24"/>
      <c r="ES212" s="24"/>
      <c r="ET212" s="24"/>
      <c r="EU212" s="24"/>
      <c r="EV212" s="24"/>
      <c r="EW212" s="24"/>
      <c r="EX212" s="24"/>
      <c r="EY212" s="24"/>
      <c r="EZ212" s="24"/>
    </row>
    <row r="213" spans="27:156">
      <c r="AA213" s="24"/>
      <c r="AB213" s="31">
        <v>167</v>
      </c>
      <c r="AC213" s="22">
        <v>163</v>
      </c>
      <c r="AD213" s="22">
        <v>156</v>
      </c>
      <c r="AE213" s="22">
        <v>146</v>
      </c>
      <c r="AF213" s="22">
        <v>140</v>
      </c>
      <c r="AG213" s="22">
        <v>135</v>
      </c>
      <c r="AH213" s="22">
        <v>130</v>
      </c>
      <c r="AI213" s="22">
        <v>126</v>
      </c>
      <c r="AJ213" s="22">
        <v>126</v>
      </c>
      <c r="AK213" s="22">
        <v>125</v>
      </c>
      <c r="AL213" s="22">
        <v>125</v>
      </c>
      <c r="AM213" s="22">
        <v>126</v>
      </c>
      <c r="AN213" s="22">
        <v>128</v>
      </c>
      <c r="AO213" s="22">
        <v>129</v>
      </c>
      <c r="AP213" s="22">
        <v>160</v>
      </c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  <c r="CA213" s="24"/>
      <c r="CB213" s="24"/>
      <c r="CC213" s="24"/>
      <c r="CD213" s="24"/>
      <c r="CE213" s="24"/>
      <c r="CF213" s="24"/>
      <c r="CG213" s="24"/>
      <c r="CH213" s="24"/>
      <c r="CI213" s="24"/>
      <c r="CJ213" s="24"/>
      <c r="CK213" s="24"/>
      <c r="CL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C213" s="24"/>
      <c r="DD213" s="24"/>
      <c r="DE213" s="24"/>
      <c r="DF213" s="24"/>
      <c r="DG213" s="24"/>
      <c r="DH213" s="24"/>
      <c r="DI213" s="24"/>
      <c r="DJ213" s="24"/>
      <c r="DK213" s="24"/>
      <c r="DL213" s="24"/>
      <c r="DM213" s="24"/>
      <c r="DN213" s="24"/>
      <c r="DO213" s="24"/>
      <c r="DP213" s="24"/>
      <c r="DQ213" s="24"/>
      <c r="DR213" s="24"/>
      <c r="DS213" s="24"/>
      <c r="DT213" s="24"/>
      <c r="DU213" s="24"/>
      <c r="DV213" s="24"/>
      <c r="DW213" s="24"/>
      <c r="DX213" s="24"/>
      <c r="DY213" s="24"/>
      <c r="DZ213" s="24"/>
      <c r="EA213" s="24"/>
      <c r="EB213" s="24"/>
      <c r="EC213" s="24"/>
      <c r="ED213" s="24"/>
      <c r="EE213" s="24"/>
      <c r="EF213" s="24"/>
      <c r="EG213" s="24"/>
      <c r="EH213" s="24"/>
      <c r="EI213" s="24"/>
      <c r="EJ213" s="24"/>
      <c r="EK213" s="24"/>
      <c r="EL213" s="24"/>
      <c r="EM213" s="24"/>
      <c r="EN213" s="24"/>
      <c r="EO213" s="24"/>
      <c r="EP213" s="24"/>
      <c r="EQ213" s="24"/>
      <c r="ER213" s="24"/>
      <c r="ES213" s="24"/>
      <c r="ET213" s="24"/>
      <c r="EU213" s="24"/>
      <c r="EV213" s="24"/>
      <c r="EW213" s="24"/>
      <c r="EX213" s="24"/>
      <c r="EY213" s="24"/>
      <c r="EZ213" s="24"/>
    </row>
    <row r="214" spans="27:156">
      <c r="AA214" s="24"/>
      <c r="AB214" s="31">
        <v>168</v>
      </c>
      <c r="AC214" s="22">
        <v>163</v>
      </c>
      <c r="AD214" s="22">
        <v>156</v>
      </c>
      <c r="AE214" s="22">
        <v>146</v>
      </c>
      <c r="AF214" s="22">
        <v>140</v>
      </c>
      <c r="AG214" s="22">
        <v>135</v>
      </c>
      <c r="AH214" s="22">
        <v>130</v>
      </c>
      <c r="AI214" s="22">
        <v>126</v>
      </c>
      <c r="AJ214" s="22">
        <v>126</v>
      </c>
      <c r="AK214" s="22">
        <v>125</v>
      </c>
      <c r="AL214" s="22">
        <v>125</v>
      </c>
      <c r="AM214" s="22">
        <v>126</v>
      </c>
      <c r="AN214" s="22">
        <v>128</v>
      </c>
      <c r="AO214" s="22">
        <v>129</v>
      </c>
      <c r="AP214" s="22">
        <v>160</v>
      </c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  <c r="CA214" s="24"/>
      <c r="CB214" s="24"/>
      <c r="CC214" s="24"/>
      <c r="CD214" s="24"/>
      <c r="CE214" s="24"/>
      <c r="CF214" s="24"/>
      <c r="CG214" s="24"/>
      <c r="CH214" s="24"/>
      <c r="CI214" s="24"/>
      <c r="CJ214" s="24"/>
      <c r="CK214" s="24"/>
      <c r="CL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C214" s="24"/>
      <c r="DD214" s="24"/>
      <c r="DE214" s="24"/>
      <c r="DF214" s="24"/>
      <c r="DG214" s="24"/>
      <c r="DH214" s="24"/>
      <c r="DI214" s="24"/>
      <c r="DJ214" s="24"/>
      <c r="DK214" s="24"/>
      <c r="DL214" s="24"/>
      <c r="DM214" s="24"/>
      <c r="DN214" s="24"/>
      <c r="DO214" s="24"/>
      <c r="DP214" s="24"/>
      <c r="DQ214" s="24"/>
      <c r="DR214" s="24"/>
      <c r="DS214" s="24"/>
      <c r="DT214" s="24"/>
      <c r="DU214" s="24"/>
      <c r="DV214" s="24"/>
      <c r="DW214" s="24"/>
      <c r="DX214" s="24"/>
      <c r="DY214" s="24"/>
      <c r="DZ214" s="24"/>
      <c r="EA214" s="24"/>
      <c r="EB214" s="24"/>
      <c r="EC214" s="24"/>
      <c r="ED214" s="24"/>
      <c r="EE214" s="24"/>
      <c r="EF214" s="24"/>
      <c r="EG214" s="24"/>
      <c r="EH214" s="24"/>
      <c r="EI214" s="24"/>
      <c r="EJ214" s="24"/>
      <c r="EK214" s="24"/>
      <c r="EL214" s="24"/>
      <c r="EM214" s="24"/>
      <c r="EN214" s="24"/>
      <c r="EO214" s="24"/>
      <c r="EP214" s="24"/>
      <c r="EQ214" s="24"/>
      <c r="ER214" s="24"/>
      <c r="ES214" s="24"/>
      <c r="ET214" s="24"/>
      <c r="EU214" s="24"/>
      <c r="EV214" s="24"/>
      <c r="EW214" s="24"/>
      <c r="EX214" s="24"/>
      <c r="EY214" s="24"/>
      <c r="EZ214" s="24"/>
    </row>
    <row r="215" spans="27:156">
      <c r="AA215" s="24"/>
      <c r="AB215" s="31">
        <v>169</v>
      </c>
      <c r="AC215" s="22">
        <v>163</v>
      </c>
      <c r="AD215" s="22">
        <v>156</v>
      </c>
      <c r="AE215" s="22">
        <v>146</v>
      </c>
      <c r="AF215" s="22">
        <v>140</v>
      </c>
      <c r="AG215" s="22">
        <v>135</v>
      </c>
      <c r="AH215" s="22">
        <v>130</v>
      </c>
      <c r="AI215" s="22">
        <v>126</v>
      </c>
      <c r="AJ215" s="22">
        <v>126</v>
      </c>
      <c r="AK215" s="22">
        <v>125</v>
      </c>
      <c r="AL215" s="22">
        <v>125</v>
      </c>
      <c r="AM215" s="22">
        <v>126</v>
      </c>
      <c r="AN215" s="22">
        <v>128</v>
      </c>
      <c r="AO215" s="22">
        <v>129</v>
      </c>
      <c r="AP215" s="22">
        <v>160</v>
      </c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4"/>
      <c r="CA215" s="24"/>
      <c r="CB215" s="24"/>
      <c r="CC215" s="24"/>
      <c r="CD215" s="24"/>
      <c r="CE215" s="24"/>
      <c r="CF215" s="24"/>
      <c r="CG215" s="24"/>
      <c r="CH215" s="24"/>
      <c r="CI215" s="24"/>
      <c r="CJ215" s="24"/>
      <c r="CK215" s="24"/>
      <c r="CL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C215" s="24"/>
      <c r="DD215" s="24"/>
      <c r="DE215" s="24"/>
      <c r="DF215" s="24"/>
      <c r="DG215" s="24"/>
      <c r="DH215" s="24"/>
      <c r="DI215" s="24"/>
      <c r="DJ215" s="24"/>
      <c r="DK215" s="24"/>
      <c r="DL215" s="24"/>
      <c r="DM215" s="24"/>
      <c r="DN215" s="24"/>
      <c r="DO215" s="24"/>
      <c r="DP215" s="24"/>
      <c r="DQ215" s="24"/>
      <c r="DR215" s="24"/>
      <c r="DS215" s="24"/>
      <c r="DT215" s="24"/>
      <c r="DU215" s="24"/>
      <c r="DV215" s="24"/>
      <c r="DW215" s="24"/>
      <c r="DX215" s="24"/>
      <c r="DY215" s="24"/>
      <c r="DZ215" s="24"/>
      <c r="EA215" s="24"/>
      <c r="EB215" s="24"/>
      <c r="EC215" s="24"/>
      <c r="ED215" s="24"/>
      <c r="EE215" s="24"/>
      <c r="EF215" s="24"/>
      <c r="EG215" s="24"/>
      <c r="EH215" s="24"/>
      <c r="EI215" s="24"/>
      <c r="EJ215" s="24"/>
      <c r="EK215" s="24"/>
      <c r="EL215" s="24"/>
      <c r="EM215" s="24"/>
      <c r="EN215" s="24"/>
      <c r="EO215" s="24"/>
      <c r="EP215" s="24"/>
      <c r="EQ215" s="24"/>
      <c r="ER215" s="24"/>
      <c r="ES215" s="24"/>
      <c r="ET215" s="24"/>
      <c r="EU215" s="24"/>
      <c r="EV215" s="24"/>
      <c r="EW215" s="24"/>
      <c r="EX215" s="24"/>
      <c r="EY215" s="24"/>
      <c r="EZ215" s="24"/>
    </row>
    <row r="216" spans="27:156">
      <c r="AA216" s="24"/>
      <c r="AB216" s="31">
        <v>170</v>
      </c>
      <c r="AC216" s="22">
        <v>163</v>
      </c>
      <c r="AD216" s="22">
        <v>156</v>
      </c>
      <c r="AE216" s="22">
        <v>146</v>
      </c>
      <c r="AF216" s="22">
        <v>140</v>
      </c>
      <c r="AG216" s="22">
        <v>135</v>
      </c>
      <c r="AH216" s="22">
        <v>130</v>
      </c>
      <c r="AI216" s="22">
        <v>126</v>
      </c>
      <c r="AJ216" s="22">
        <v>126</v>
      </c>
      <c r="AK216" s="22">
        <v>125</v>
      </c>
      <c r="AL216" s="22">
        <v>125</v>
      </c>
      <c r="AM216" s="22">
        <v>126</v>
      </c>
      <c r="AN216" s="22">
        <v>128</v>
      </c>
      <c r="AO216" s="22">
        <v>129</v>
      </c>
      <c r="AP216" s="22">
        <v>160</v>
      </c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4"/>
      <c r="CC216" s="24"/>
      <c r="CD216" s="24"/>
      <c r="CE216" s="24"/>
      <c r="CF216" s="24"/>
      <c r="CG216" s="24"/>
      <c r="CH216" s="24"/>
      <c r="CI216" s="24"/>
      <c r="CJ216" s="24"/>
      <c r="CK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C216" s="24"/>
      <c r="DD216" s="24"/>
      <c r="DE216" s="24"/>
      <c r="DF216" s="24"/>
      <c r="DG216" s="24"/>
      <c r="DH216" s="24"/>
      <c r="DI216" s="24"/>
      <c r="DJ216" s="24"/>
      <c r="DK216" s="24"/>
      <c r="DL216" s="24"/>
      <c r="DM216" s="24"/>
      <c r="DN216" s="24"/>
      <c r="DO216" s="24"/>
      <c r="DP216" s="24"/>
      <c r="DQ216" s="24"/>
      <c r="DR216" s="24"/>
      <c r="DS216" s="24"/>
      <c r="DT216" s="24"/>
      <c r="DU216" s="24"/>
      <c r="DV216" s="24"/>
      <c r="DW216" s="24"/>
      <c r="DX216" s="24"/>
      <c r="DY216" s="24"/>
      <c r="DZ216" s="24"/>
      <c r="EA216" s="24"/>
      <c r="EB216" s="24"/>
      <c r="EC216" s="24"/>
      <c r="ED216" s="24"/>
      <c r="EE216" s="24"/>
      <c r="EF216" s="24"/>
      <c r="EG216" s="24"/>
      <c r="EH216" s="24"/>
      <c r="EI216" s="24"/>
      <c r="EJ216" s="24"/>
      <c r="EK216" s="24"/>
      <c r="EL216" s="24"/>
      <c r="EM216" s="24"/>
      <c r="EN216" s="24"/>
      <c r="EO216" s="24"/>
      <c r="EP216" s="24"/>
      <c r="EQ216" s="24"/>
      <c r="ER216" s="24"/>
      <c r="ES216" s="24"/>
      <c r="ET216" s="24"/>
      <c r="EU216" s="24"/>
      <c r="EV216" s="24"/>
      <c r="EW216" s="24"/>
      <c r="EX216" s="24"/>
      <c r="EY216" s="24"/>
      <c r="EZ216" s="24"/>
    </row>
    <row r="217" spans="27:156">
      <c r="AA217" s="24"/>
      <c r="AB217" s="31">
        <v>171</v>
      </c>
      <c r="AC217" s="22">
        <v>170</v>
      </c>
      <c r="AD217" s="22">
        <v>160</v>
      </c>
      <c r="AE217" s="22">
        <v>150</v>
      </c>
      <c r="AF217" s="22">
        <v>145</v>
      </c>
      <c r="AG217" s="22">
        <v>140</v>
      </c>
      <c r="AH217" s="22">
        <v>134</v>
      </c>
      <c r="AI217" s="22">
        <v>130</v>
      </c>
      <c r="AJ217" s="22">
        <v>130</v>
      </c>
      <c r="AK217" s="22">
        <v>129</v>
      </c>
      <c r="AL217" s="22">
        <v>128</v>
      </c>
      <c r="AM217" s="22">
        <v>129</v>
      </c>
      <c r="AN217" s="22">
        <v>131</v>
      </c>
      <c r="AO217" s="22">
        <v>132</v>
      </c>
      <c r="AP217" s="22">
        <v>160</v>
      </c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4"/>
      <c r="CA217" s="24"/>
      <c r="CB217" s="24"/>
      <c r="CC217" s="24"/>
      <c r="CD217" s="24"/>
      <c r="CE217" s="24"/>
      <c r="CF217" s="24"/>
      <c r="CG217" s="24"/>
      <c r="CH217" s="24"/>
      <c r="CI217" s="24"/>
      <c r="CJ217" s="24"/>
      <c r="CK217" s="24"/>
      <c r="CL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C217" s="24"/>
      <c r="DD217" s="24"/>
      <c r="DE217" s="24"/>
      <c r="DF217" s="24"/>
      <c r="DG217" s="24"/>
      <c r="DH217" s="24"/>
      <c r="DI217" s="24"/>
      <c r="DJ217" s="24"/>
      <c r="DK217" s="24"/>
      <c r="DL217" s="24"/>
      <c r="DM217" s="24"/>
      <c r="DN217" s="24"/>
      <c r="DO217" s="24"/>
      <c r="DP217" s="24"/>
      <c r="DQ217" s="24"/>
      <c r="DR217" s="24"/>
      <c r="DS217" s="24"/>
      <c r="DT217" s="24"/>
      <c r="DU217" s="24"/>
      <c r="DV217" s="24"/>
      <c r="DW217" s="24"/>
      <c r="DX217" s="24"/>
      <c r="DY217" s="24"/>
      <c r="DZ217" s="24"/>
      <c r="EA217" s="24"/>
      <c r="EB217" s="24"/>
      <c r="EC217" s="24"/>
      <c r="ED217" s="24"/>
      <c r="EE217" s="24"/>
      <c r="EF217" s="24"/>
      <c r="EG217" s="24"/>
      <c r="EH217" s="24"/>
      <c r="EI217" s="24"/>
      <c r="EJ217" s="24"/>
      <c r="EK217" s="24"/>
      <c r="EL217" s="24"/>
      <c r="EM217" s="24"/>
      <c r="EN217" s="24"/>
      <c r="EO217" s="24"/>
      <c r="EP217" s="24"/>
      <c r="EQ217" s="24"/>
      <c r="ER217" s="24"/>
      <c r="ES217" s="24"/>
      <c r="ET217" s="24"/>
      <c r="EU217" s="24"/>
      <c r="EV217" s="24"/>
      <c r="EW217" s="24"/>
      <c r="EX217" s="24"/>
      <c r="EY217" s="24"/>
      <c r="EZ217" s="24"/>
    </row>
    <row r="218" spans="27:156">
      <c r="AA218" s="24"/>
      <c r="AB218" s="31">
        <v>172</v>
      </c>
      <c r="AC218" s="22">
        <v>170</v>
      </c>
      <c r="AD218" s="22">
        <v>160</v>
      </c>
      <c r="AE218" s="22">
        <v>150</v>
      </c>
      <c r="AF218" s="22">
        <v>145</v>
      </c>
      <c r="AG218" s="22">
        <v>140</v>
      </c>
      <c r="AH218" s="22">
        <v>134</v>
      </c>
      <c r="AI218" s="22">
        <v>130</v>
      </c>
      <c r="AJ218" s="22">
        <v>130</v>
      </c>
      <c r="AK218" s="22">
        <v>129</v>
      </c>
      <c r="AL218" s="22">
        <v>128</v>
      </c>
      <c r="AM218" s="22">
        <v>129</v>
      </c>
      <c r="AN218" s="22">
        <v>131</v>
      </c>
      <c r="AO218" s="22">
        <v>132</v>
      </c>
      <c r="AP218" s="22">
        <v>160</v>
      </c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4"/>
      <c r="CA218" s="24"/>
      <c r="CB218" s="24"/>
      <c r="CC218" s="24"/>
      <c r="CD218" s="24"/>
      <c r="CE218" s="24"/>
      <c r="CF218" s="24"/>
      <c r="CG218" s="24"/>
      <c r="CH218" s="24"/>
      <c r="CI218" s="24"/>
      <c r="CJ218" s="24"/>
      <c r="CK218" s="24"/>
      <c r="CL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C218" s="24"/>
      <c r="DD218" s="24"/>
      <c r="DE218" s="24"/>
      <c r="DF218" s="24"/>
      <c r="DG218" s="24"/>
      <c r="DH218" s="24"/>
      <c r="DI218" s="24"/>
      <c r="DJ218" s="24"/>
      <c r="DK218" s="24"/>
      <c r="DL218" s="24"/>
      <c r="DM218" s="24"/>
      <c r="DN218" s="24"/>
      <c r="DO218" s="24"/>
      <c r="DP218" s="24"/>
      <c r="DQ218" s="24"/>
      <c r="DR218" s="24"/>
      <c r="DS218" s="24"/>
      <c r="DT218" s="24"/>
      <c r="DU218" s="24"/>
      <c r="DV218" s="24"/>
      <c r="DW218" s="24"/>
      <c r="DX218" s="24"/>
      <c r="DY218" s="24"/>
      <c r="DZ218" s="24"/>
      <c r="EA218" s="24"/>
      <c r="EB218" s="24"/>
      <c r="EC218" s="24"/>
      <c r="ED218" s="24"/>
      <c r="EE218" s="24"/>
      <c r="EF218" s="24"/>
      <c r="EG218" s="24"/>
      <c r="EH218" s="24"/>
      <c r="EI218" s="24"/>
      <c r="EJ218" s="24"/>
      <c r="EK218" s="24"/>
      <c r="EL218" s="24"/>
      <c r="EM218" s="24"/>
      <c r="EN218" s="24"/>
      <c r="EO218" s="24"/>
      <c r="EP218" s="24"/>
      <c r="EQ218" s="24"/>
      <c r="ER218" s="24"/>
      <c r="ES218" s="24"/>
      <c r="ET218" s="24"/>
      <c r="EU218" s="24"/>
      <c r="EV218" s="24"/>
      <c r="EW218" s="24"/>
      <c r="EX218" s="24"/>
      <c r="EY218" s="24"/>
      <c r="EZ218" s="24"/>
    </row>
    <row r="219" spans="27:156">
      <c r="AA219" s="24"/>
      <c r="AB219" s="31">
        <v>173</v>
      </c>
      <c r="AC219" s="22">
        <v>170</v>
      </c>
      <c r="AD219" s="22">
        <v>160</v>
      </c>
      <c r="AE219" s="22">
        <v>150</v>
      </c>
      <c r="AF219" s="22">
        <v>145</v>
      </c>
      <c r="AG219" s="22">
        <v>140</v>
      </c>
      <c r="AH219" s="22">
        <v>134</v>
      </c>
      <c r="AI219" s="22">
        <v>130</v>
      </c>
      <c r="AJ219" s="22">
        <v>130</v>
      </c>
      <c r="AK219" s="22">
        <v>129</v>
      </c>
      <c r="AL219" s="22">
        <v>128</v>
      </c>
      <c r="AM219" s="22">
        <v>129</v>
      </c>
      <c r="AN219" s="22">
        <v>131</v>
      </c>
      <c r="AO219" s="22">
        <v>132</v>
      </c>
      <c r="AP219" s="22">
        <v>160</v>
      </c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  <c r="CA219" s="24"/>
      <c r="CB219" s="24"/>
      <c r="CC219" s="24"/>
      <c r="CD219" s="24"/>
      <c r="CE219" s="24"/>
      <c r="CF219" s="24"/>
      <c r="CG219" s="24"/>
      <c r="CH219" s="24"/>
      <c r="CI219" s="24"/>
      <c r="CJ219" s="24"/>
      <c r="CK219" s="24"/>
      <c r="CL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C219" s="24"/>
      <c r="DD219" s="24"/>
      <c r="DE219" s="24"/>
      <c r="DF219" s="24"/>
      <c r="DG219" s="24"/>
      <c r="DH219" s="24"/>
      <c r="DI219" s="24"/>
      <c r="DJ219" s="24"/>
      <c r="DK219" s="24"/>
      <c r="DL219" s="24"/>
      <c r="DM219" s="24"/>
      <c r="DN219" s="24"/>
      <c r="DO219" s="24"/>
      <c r="DP219" s="24"/>
      <c r="DQ219" s="24"/>
      <c r="DR219" s="24"/>
      <c r="DS219" s="24"/>
      <c r="DT219" s="24"/>
      <c r="DU219" s="24"/>
      <c r="DV219" s="24"/>
      <c r="DW219" s="24"/>
      <c r="DX219" s="24"/>
      <c r="DY219" s="24"/>
      <c r="DZ219" s="24"/>
      <c r="EA219" s="24"/>
      <c r="EB219" s="24"/>
      <c r="EC219" s="24"/>
      <c r="ED219" s="24"/>
      <c r="EE219" s="24"/>
      <c r="EF219" s="24"/>
      <c r="EG219" s="24"/>
      <c r="EH219" s="24"/>
      <c r="EI219" s="24"/>
      <c r="EJ219" s="24"/>
      <c r="EK219" s="24"/>
      <c r="EL219" s="24"/>
      <c r="EM219" s="24"/>
      <c r="EN219" s="24"/>
      <c r="EO219" s="24"/>
      <c r="EP219" s="24"/>
      <c r="EQ219" s="24"/>
      <c r="ER219" s="24"/>
      <c r="ES219" s="24"/>
      <c r="ET219" s="24"/>
      <c r="EU219" s="24"/>
      <c r="EV219" s="24"/>
      <c r="EW219" s="24"/>
      <c r="EX219" s="24"/>
      <c r="EY219" s="24"/>
      <c r="EZ219" s="24"/>
    </row>
    <row r="220" spans="27:156">
      <c r="AA220" s="24"/>
      <c r="AB220" s="31">
        <v>174</v>
      </c>
      <c r="AC220" s="22">
        <v>170</v>
      </c>
      <c r="AD220" s="22">
        <v>160</v>
      </c>
      <c r="AE220" s="22">
        <v>150</v>
      </c>
      <c r="AF220" s="22">
        <v>145</v>
      </c>
      <c r="AG220" s="22">
        <v>140</v>
      </c>
      <c r="AH220" s="22">
        <v>134</v>
      </c>
      <c r="AI220" s="22">
        <v>130</v>
      </c>
      <c r="AJ220" s="22">
        <v>130</v>
      </c>
      <c r="AK220" s="22">
        <v>129</v>
      </c>
      <c r="AL220" s="22">
        <v>128</v>
      </c>
      <c r="AM220" s="22">
        <v>129</v>
      </c>
      <c r="AN220" s="22">
        <v>131</v>
      </c>
      <c r="AO220" s="22">
        <v>132</v>
      </c>
      <c r="AP220" s="22">
        <v>160</v>
      </c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4"/>
      <c r="CA220" s="24"/>
      <c r="CB220" s="24"/>
      <c r="CC220" s="24"/>
      <c r="CD220" s="24"/>
      <c r="CE220" s="24"/>
      <c r="CF220" s="24"/>
      <c r="CG220" s="24"/>
      <c r="CH220" s="24"/>
      <c r="CI220" s="24"/>
      <c r="CJ220" s="24"/>
      <c r="CK220" s="24"/>
      <c r="CL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C220" s="24"/>
      <c r="DD220" s="24"/>
      <c r="DE220" s="24"/>
      <c r="DF220" s="24"/>
      <c r="DG220" s="24"/>
      <c r="DH220" s="24"/>
      <c r="DI220" s="24"/>
      <c r="DJ220" s="24"/>
      <c r="DK220" s="24"/>
      <c r="DL220" s="24"/>
      <c r="DM220" s="24"/>
      <c r="DN220" s="24"/>
      <c r="DO220" s="24"/>
      <c r="DP220" s="24"/>
      <c r="DQ220" s="24"/>
      <c r="DR220" s="24"/>
      <c r="DS220" s="24"/>
      <c r="DT220" s="24"/>
      <c r="DU220" s="24"/>
      <c r="DV220" s="24"/>
      <c r="DW220" s="24"/>
      <c r="DX220" s="24"/>
      <c r="DY220" s="24"/>
      <c r="DZ220" s="24"/>
      <c r="EA220" s="24"/>
      <c r="EB220" s="24"/>
      <c r="EC220" s="24"/>
      <c r="ED220" s="24"/>
      <c r="EE220" s="24"/>
      <c r="EF220" s="24"/>
      <c r="EG220" s="24"/>
      <c r="EH220" s="24"/>
      <c r="EI220" s="24"/>
      <c r="EJ220" s="24"/>
      <c r="EK220" s="24"/>
      <c r="EL220" s="24"/>
      <c r="EM220" s="24"/>
      <c r="EN220" s="24"/>
      <c r="EO220" s="24"/>
      <c r="EP220" s="24"/>
      <c r="EQ220" s="24"/>
      <c r="ER220" s="24"/>
      <c r="ES220" s="24"/>
      <c r="ET220" s="24"/>
      <c r="EU220" s="24"/>
      <c r="EV220" s="24"/>
      <c r="EW220" s="24"/>
      <c r="EX220" s="24"/>
      <c r="EY220" s="24"/>
      <c r="EZ220" s="24"/>
    </row>
    <row r="221" spans="27:156">
      <c r="AA221" s="24"/>
      <c r="AB221" s="31">
        <v>175</v>
      </c>
      <c r="AC221" s="22">
        <v>170</v>
      </c>
      <c r="AD221" s="22">
        <v>160</v>
      </c>
      <c r="AE221" s="22">
        <v>150</v>
      </c>
      <c r="AF221" s="22">
        <v>145</v>
      </c>
      <c r="AG221" s="22">
        <v>140</v>
      </c>
      <c r="AH221" s="22">
        <v>134</v>
      </c>
      <c r="AI221" s="22">
        <v>130</v>
      </c>
      <c r="AJ221" s="22">
        <v>130</v>
      </c>
      <c r="AK221" s="22">
        <v>129</v>
      </c>
      <c r="AL221" s="22">
        <v>128</v>
      </c>
      <c r="AM221" s="22">
        <v>129</v>
      </c>
      <c r="AN221" s="22">
        <v>131</v>
      </c>
      <c r="AO221" s="22">
        <v>132</v>
      </c>
      <c r="AP221" s="22">
        <v>160</v>
      </c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4"/>
      <c r="CA221" s="24"/>
      <c r="CB221" s="24"/>
      <c r="CC221" s="24"/>
      <c r="CD221" s="24"/>
      <c r="CE221" s="24"/>
      <c r="CF221" s="24"/>
      <c r="CG221" s="24"/>
      <c r="CH221" s="24"/>
      <c r="CI221" s="24"/>
      <c r="CJ221" s="24"/>
      <c r="CK221" s="24"/>
      <c r="CL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C221" s="24"/>
      <c r="DD221" s="24"/>
      <c r="DE221" s="24"/>
      <c r="DF221" s="24"/>
      <c r="DG221" s="24"/>
      <c r="DH221" s="24"/>
      <c r="DI221" s="24"/>
      <c r="DJ221" s="24"/>
      <c r="DK221" s="24"/>
      <c r="DL221" s="24"/>
      <c r="DM221" s="24"/>
      <c r="DN221" s="24"/>
      <c r="DO221" s="24"/>
      <c r="DP221" s="24"/>
      <c r="DQ221" s="24"/>
      <c r="DR221" s="24"/>
      <c r="DS221" s="24"/>
      <c r="DT221" s="24"/>
      <c r="DU221" s="24"/>
      <c r="DV221" s="24"/>
      <c r="DW221" s="24"/>
      <c r="DX221" s="24"/>
      <c r="DY221" s="24"/>
      <c r="DZ221" s="24"/>
      <c r="EA221" s="24"/>
      <c r="EB221" s="24"/>
      <c r="EC221" s="24"/>
      <c r="ED221" s="24"/>
      <c r="EE221" s="24"/>
      <c r="EF221" s="24"/>
      <c r="EG221" s="24"/>
      <c r="EH221" s="24"/>
      <c r="EI221" s="24"/>
      <c r="EJ221" s="24"/>
      <c r="EK221" s="24"/>
      <c r="EL221" s="24"/>
      <c r="EM221" s="24"/>
      <c r="EN221" s="24"/>
      <c r="EO221" s="24"/>
      <c r="EP221" s="24"/>
      <c r="EQ221" s="24"/>
      <c r="ER221" s="24"/>
      <c r="ES221" s="24"/>
      <c r="ET221" s="24"/>
      <c r="EU221" s="24"/>
      <c r="EV221" s="24"/>
      <c r="EW221" s="24"/>
      <c r="EX221" s="24"/>
      <c r="EY221" s="24"/>
      <c r="EZ221" s="24"/>
    </row>
    <row r="222" spans="27:156">
      <c r="AA222" s="24"/>
      <c r="AB222" s="31">
        <v>176</v>
      </c>
      <c r="AC222" s="22">
        <v>170</v>
      </c>
      <c r="AD222" s="22">
        <v>160</v>
      </c>
      <c r="AE222" s="22">
        <v>150</v>
      </c>
      <c r="AF222" s="22">
        <v>145</v>
      </c>
      <c r="AG222" s="22">
        <v>140</v>
      </c>
      <c r="AH222" s="22">
        <v>134</v>
      </c>
      <c r="AI222" s="22">
        <v>130</v>
      </c>
      <c r="AJ222" s="22">
        <v>130</v>
      </c>
      <c r="AK222" s="22">
        <v>129</v>
      </c>
      <c r="AL222" s="22">
        <v>128</v>
      </c>
      <c r="AM222" s="22">
        <v>129</v>
      </c>
      <c r="AN222" s="22">
        <v>131</v>
      </c>
      <c r="AO222" s="22">
        <v>132</v>
      </c>
      <c r="AP222" s="22">
        <v>160</v>
      </c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4"/>
      <c r="CA222" s="24"/>
      <c r="CB222" s="24"/>
      <c r="CC222" s="24"/>
      <c r="CD222" s="24"/>
      <c r="CE222" s="24"/>
      <c r="CF222" s="24"/>
      <c r="CG222" s="24"/>
      <c r="CH222" s="24"/>
      <c r="CI222" s="24"/>
      <c r="CJ222" s="24"/>
      <c r="CK222" s="24"/>
      <c r="CL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C222" s="24"/>
      <c r="DD222" s="24"/>
      <c r="DE222" s="24"/>
      <c r="DF222" s="24"/>
      <c r="DG222" s="24"/>
      <c r="DH222" s="24"/>
      <c r="DI222" s="24"/>
      <c r="DJ222" s="24"/>
      <c r="DK222" s="24"/>
      <c r="DL222" s="24"/>
      <c r="DM222" s="24"/>
      <c r="DN222" s="24"/>
      <c r="DO222" s="24"/>
      <c r="DP222" s="24"/>
      <c r="DQ222" s="24"/>
      <c r="DR222" s="24"/>
      <c r="DS222" s="24"/>
      <c r="DT222" s="24"/>
      <c r="DU222" s="24"/>
      <c r="DV222" s="24"/>
      <c r="DW222" s="24"/>
      <c r="DX222" s="24"/>
      <c r="DY222" s="24"/>
      <c r="DZ222" s="24"/>
      <c r="EA222" s="24"/>
      <c r="EB222" s="24"/>
      <c r="EC222" s="24"/>
      <c r="ED222" s="24"/>
      <c r="EE222" s="24"/>
      <c r="EF222" s="24"/>
      <c r="EG222" s="24"/>
      <c r="EH222" s="24"/>
      <c r="EI222" s="24"/>
      <c r="EJ222" s="24"/>
      <c r="EK222" s="24"/>
      <c r="EL222" s="24"/>
      <c r="EM222" s="24"/>
      <c r="EN222" s="24"/>
      <c r="EO222" s="24"/>
      <c r="EP222" s="24"/>
      <c r="EQ222" s="24"/>
      <c r="ER222" s="24"/>
      <c r="ES222" s="24"/>
      <c r="ET222" s="24"/>
      <c r="EU222" s="24"/>
      <c r="EV222" s="24"/>
      <c r="EW222" s="24"/>
      <c r="EX222" s="24"/>
      <c r="EY222" s="24"/>
      <c r="EZ222" s="24"/>
    </row>
    <row r="223" spans="27:156">
      <c r="AA223" s="24"/>
      <c r="AB223" s="31">
        <v>177</v>
      </c>
      <c r="AC223" s="22">
        <v>170</v>
      </c>
      <c r="AD223" s="22">
        <v>160</v>
      </c>
      <c r="AE223" s="22">
        <v>150</v>
      </c>
      <c r="AF223" s="22">
        <v>145</v>
      </c>
      <c r="AG223" s="22">
        <v>140</v>
      </c>
      <c r="AH223" s="22">
        <v>134</v>
      </c>
      <c r="AI223" s="22">
        <v>130</v>
      </c>
      <c r="AJ223" s="22">
        <v>130</v>
      </c>
      <c r="AK223" s="22">
        <v>129</v>
      </c>
      <c r="AL223" s="22">
        <v>128</v>
      </c>
      <c r="AM223" s="22">
        <v>129</v>
      </c>
      <c r="AN223" s="22">
        <v>131</v>
      </c>
      <c r="AO223" s="22">
        <v>132</v>
      </c>
      <c r="AP223" s="22">
        <v>160</v>
      </c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4"/>
      <c r="CA223" s="24"/>
      <c r="CB223" s="24"/>
      <c r="CC223" s="24"/>
      <c r="CD223" s="24"/>
      <c r="CE223" s="24"/>
      <c r="CF223" s="24"/>
      <c r="CG223" s="24"/>
      <c r="CH223" s="24"/>
      <c r="CI223" s="24"/>
      <c r="CJ223" s="24"/>
      <c r="CK223" s="24"/>
      <c r="CL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C223" s="24"/>
      <c r="DD223" s="24"/>
      <c r="DE223" s="24"/>
      <c r="DF223" s="24"/>
      <c r="DG223" s="24"/>
      <c r="DH223" s="24"/>
      <c r="DI223" s="24"/>
      <c r="DJ223" s="24"/>
      <c r="DK223" s="24"/>
      <c r="DL223" s="24"/>
      <c r="DM223" s="24"/>
      <c r="DN223" s="24"/>
      <c r="DO223" s="24"/>
      <c r="DP223" s="24"/>
      <c r="DQ223" s="24"/>
      <c r="DR223" s="24"/>
      <c r="DS223" s="24"/>
      <c r="DT223" s="24"/>
      <c r="DU223" s="24"/>
      <c r="DV223" s="24"/>
      <c r="DW223" s="24"/>
      <c r="DX223" s="24"/>
      <c r="DY223" s="24"/>
      <c r="DZ223" s="24"/>
      <c r="EA223" s="24"/>
      <c r="EB223" s="24"/>
      <c r="EC223" s="24"/>
      <c r="ED223" s="24"/>
      <c r="EE223" s="24"/>
      <c r="EF223" s="24"/>
      <c r="EG223" s="24"/>
      <c r="EH223" s="24"/>
      <c r="EI223" s="24"/>
      <c r="EJ223" s="24"/>
      <c r="EK223" s="24"/>
      <c r="EL223" s="24"/>
      <c r="EM223" s="24"/>
      <c r="EN223" s="24"/>
      <c r="EO223" s="24"/>
      <c r="EP223" s="24"/>
      <c r="EQ223" s="24"/>
      <c r="ER223" s="24"/>
      <c r="ES223" s="24"/>
      <c r="ET223" s="24"/>
      <c r="EU223" s="24"/>
      <c r="EV223" s="24"/>
      <c r="EW223" s="24"/>
      <c r="EX223" s="24"/>
      <c r="EY223" s="24"/>
      <c r="EZ223" s="24"/>
    </row>
    <row r="224" spans="27:156">
      <c r="AA224" s="24"/>
      <c r="AB224" s="31">
        <v>178</v>
      </c>
      <c r="AC224" s="22">
        <v>170</v>
      </c>
      <c r="AD224" s="22">
        <v>160</v>
      </c>
      <c r="AE224" s="22">
        <v>150</v>
      </c>
      <c r="AF224" s="22">
        <v>145</v>
      </c>
      <c r="AG224" s="22">
        <v>140</v>
      </c>
      <c r="AH224" s="22">
        <v>134</v>
      </c>
      <c r="AI224" s="22">
        <v>130</v>
      </c>
      <c r="AJ224" s="22">
        <v>130</v>
      </c>
      <c r="AK224" s="22">
        <v>129</v>
      </c>
      <c r="AL224" s="22">
        <v>128</v>
      </c>
      <c r="AM224" s="22">
        <v>129</v>
      </c>
      <c r="AN224" s="22">
        <v>131</v>
      </c>
      <c r="AO224" s="22">
        <v>132</v>
      </c>
      <c r="AP224" s="22">
        <v>160</v>
      </c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4"/>
      <c r="CA224" s="24"/>
      <c r="CB224" s="24"/>
      <c r="CC224" s="24"/>
      <c r="CD224" s="24"/>
      <c r="CE224" s="24"/>
      <c r="CF224" s="24"/>
      <c r="CG224" s="24"/>
      <c r="CH224" s="24"/>
      <c r="CI224" s="24"/>
      <c r="CJ224" s="24"/>
      <c r="CK224" s="24"/>
      <c r="CL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C224" s="24"/>
      <c r="DD224" s="24"/>
      <c r="DE224" s="24"/>
      <c r="DF224" s="24"/>
      <c r="DG224" s="24"/>
      <c r="DH224" s="24"/>
      <c r="DI224" s="24"/>
      <c r="DJ224" s="24"/>
      <c r="DK224" s="24"/>
      <c r="DL224" s="24"/>
      <c r="DM224" s="24"/>
      <c r="DN224" s="24"/>
      <c r="DO224" s="24"/>
      <c r="DP224" s="24"/>
      <c r="DQ224" s="24"/>
      <c r="DR224" s="24"/>
      <c r="DS224" s="24"/>
      <c r="DT224" s="24"/>
      <c r="DU224" s="24"/>
      <c r="DV224" s="24"/>
      <c r="DW224" s="24"/>
      <c r="DX224" s="24"/>
      <c r="DY224" s="24"/>
      <c r="DZ224" s="24"/>
      <c r="EA224" s="24"/>
      <c r="EB224" s="24"/>
      <c r="EC224" s="24"/>
      <c r="ED224" s="24"/>
      <c r="EE224" s="24"/>
      <c r="EF224" s="24"/>
      <c r="EG224" s="24"/>
      <c r="EH224" s="24"/>
      <c r="EI224" s="24"/>
      <c r="EJ224" s="24"/>
      <c r="EK224" s="24"/>
      <c r="EL224" s="24"/>
      <c r="EM224" s="24"/>
      <c r="EN224" s="24"/>
      <c r="EO224" s="24"/>
      <c r="EP224" s="24"/>
      <c r="EQ224" s="24"/>
      <c r="ER224" s="24"/>
      <c r="ES224" s="24"/>
      <c r="ET224" s="24"/>
      <c r="EU224" s="24"/>
      <c r="EV224" s="24"/>
      <c r="EW224" s="24"/>
      <c r="EX224" s="24"/>
      <c r="EY224" s="24"/>
      <c r="EZ224" s="24"/>
    </row>
    <row r="225" spans="27:156">
      <c r="AA225" s="24"/>
      <c r="AB225" s="31">
        <v>179</v>
      </c>
      <c r="AC225" s="22">
        <v>170</v>
      </c>
      <c r="AD225" s="22">
        <v>160</v>
      </c>
      <c r="AE225" s="22">
        <v>150</v>
      </c>
      <c r="AF225" s="22">
        <v>145</v>
      </c>
      <c r="AG225" s="22">
        <v>140</v>
      </c>
      <c r="AH225" s="22">
        <v>134</v>
      </c>
      <c r="AI225" s="22">
        <v>130</v>
      </c>
      <c r="AJ225" s="22">
        <v>130</v>
      </c>
      <c r="AK225" s="22">
        <v>129</v>
      </c>
      <c r="AL225" s="22">
        <v>128</v>
      </c>
      <c r="AM225" s="22">
        <v>129</v>
      </c>
      <c r="AN225" s="22">
        <v>131</v>
      </c>
      <c r="AO225" s="22">
        <v>132</v>
      </c>
      <c r="AP225" s="22">
        <v>160</v>
      </c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4"/>
      <c r="CA225" s="24"/>
      <c r="CB225" s="24"/>
      <c r="CC225" s="24"/>
      <c r="CD225" s="24"/>
      <c r="CE225" s="24"/>
      <c r="CF225" s="24"/>
      <c r="CG225" s="24"/>
      <c r="CH225" s="24"/>
      <c r="CI225" s="24"/>
      <c r="CJ225" s="24"/>
      <c r="CK225" s="24"/>
      <c r="CL225" s="24"/>
      <c r="CM225" s="24"/>
      <c r="CN225" s="24"/>
      <c r="CO225" s="24"/>
      <c r="CP225" s="24"/>
      <c r="CQ225" s="24"/>
      <c r="CR225" s="24"/>
      <c r="CS225" s="24"/>
      <c r="CT225" s="24"/>
      <c r="CU225" s="24"/>
      <c r="CV225" s="24"/>
      <c r="CW225" s="24"/>
      <c r="CX225" s="24"/>
      <c r="CY225" s="24"/>
      <c r="CZ225" s="24"/>
      <c r="DA225" s="24"/>
      <c r="DB225" s="24"/>
      <c r="DC225" s="24"/>
      <c r="DD225" s="24"/>
      <c r="DE225" s="24"/>
      <c r="DF225" s="24"/>
      <c r="DG225" s="24"/>
      <c r="DH225" s="24"/>
      <c r="DI225" s="24"/>
      <c r="DJ225" s="24"/>
      <c r="DK225" s="24"/>
      <c r="DL225" s="24"/>
      <c r="DM225" s="24"/>
      <c r="DN225" s="24"/>
      <c r="DO225" s="24"/>
      <c r="DP225" s="24"/>
      <c r="DQ225" s="24"/>
      <c r="DR225" s="24"/>
      <c r="DS225" s="24"/>
      <c r="DT225" s="24"/>
      <c r="DU225" s="24"/>
      <c r="DV225" s="24"/>
      <c r="DW225" s="24"/>
      <c r="DX225" s="24"/>
      <c r="DY225" s="24"/>
      <c r="DZ225" s="24"/>
      <c r="EA225" s="24"/>
      <c r="EB225" s="24"/>
      <c r="EC225" s="24"/>
      <c r="ED225" s="24"/>
      <c r="EE225" s="24"/>
      <c r="EF225" s="24"/>
      <c r="EG225" s="24"/>
      <c r="EH225" s="24"/>
      <c r="EI225" s="24"/>
      <c r="EJ225" s="24"/>
      <c r="EK225" s="24"/>
      <c r="EL225" s="24"/>
      <c r="EM225" s="24"/>
      <c r="EN225" s="24"/>
      <c r="EO225" s="24"/>
      <c r="EP225" s="24"/>
      <c r="EQ225" s="24"/>
      <c r="ER225" s="24"/>
      <c r="ES225" s="24"/>
      <c r="ET225" s="24"/>
      <c r="EU225" s="24"/>
      <c r="EV225" s="24"/>
      <c r="EW225" s="24"/>
      <c r="EX225" s="24"/>
      <c r="EY225" s="24"/>
      <c r="EZ225" s="24"/>
    </row>
    <row r="226" spans="27:156">
      <c r="AA226" s="24"/>
      <c r="AB226" s="31">
        <v>180</v>
      </c>
      <c r="AC226" s="22">
        <v>170</v>
      </c>
      <c r="AD226" s="22">
        <v>160</v>
      </c>
      <c r="AE226" s="22">
        <v>150</v>
      </c>
      <c r="AF226" s="22">
        <v>145</v>
      </c>
      <c r="AG226" s="22">
        <v>140</v>
      </c>
      <c r="AH226" s="22">
        <v>134</v>
      </c>
      <c r="AI226" s="22">
        <v>130</v>
      </c>
      <c r="AJ226" s="22">
        <v>130</v>
      </c>
      <c r="AK226" s="22">
        <v>129</v>
      </c>
      <c r="AL226" s="22">
        <v>128</v>
      </c>
      <c r="AM226" s="22">
        <v>129</v>
      </c>
      <c r="AN226" s="22">
        <v>131</v>
      </c>
      <c r="AO226" s="22">
        <v>132</v>
      </c>
      <c r="AP226" s="22">
        <v>160</v>
      </c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4"/>
      <c r="CA226" s="24"/>
      <c r="CB226" s="24"/>
      <c r="CC226" s="24"/>
      <c r="CD226" s="24"/>
      <c r="CE226" s="24"/>
      <c r="CF226" s="24"/>
      <c r="CG226" s="24"/>
      <c r="CH226" s="24"/>
      <c r="CI226" s="24"/>
      <c r="CJ226" s="24"/>
      <c r="CK226" s="24"/>
      <c r="CL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  <c r="DB226" s="24"/>
      <c r="DC226" s="24"/>
      <c r="DD226" s="24"/>
      <c r="DE226" s="24"/>
      <c r="DF226" s="24"/>
      <c r="DG226" s="24"/>
      <c r="DH226" s="24"/>
      <c r="DI226" s="24"/>
      <c r="DJ226" s="24"/>
      <c r="DK226" s="24"/>
      <c r="DL226" s="24"/>
      <c r="DM226" s="24"/>
      <c r="DN226" s="24"/>
      <c r="DO226" s="24"/>
      <c r="DP226" s="24"/>
      <c r="DQ226" s="24"/>
      <c r="DR226" s="24"/>
      <c r="DS226" s="24"/>
      <c r="DT226" s="24"/>
      <c r="DU226" s="24"/>
      <c r="DV226" s="24"/>
      <c r="DW226" s="24"/>
      <c r="DX226" s="24"/>
      <c r="DY226" s="24"/>
      <c r="DZ226" s="24"/>
      <c r="EA226" s="24"/>
      <c r="EB226" s="24"/>
      <c r="EC226" s="24"/>
      <c r="ED226" s="24"/>
      <c r="EE226" s="24"/>
      <c r="EF226" s="24"/>
      <c r="EG226" s="24"/>
      <c r="EH226" s="24"/>
      <c r="EI226" s="24"/>
      <c r="EJ226" s="24"/>
      <c r="EK226" s="24"/>
      <c r="EL226" s="24"/>
      <c r="EM226" s="24"/>
      <c r="EN226" s="24"/>
      <c r="EO226" s="24"/>
      <c r="EP226" s="24"/>
      <c r="EQ226" s="24"/>
      <c r="ER226" s="24"/>
      <c r="ES226" s="24"/>
      <c r="ET226" s="24"/>
      <c r="EU226" s="24"/>
      <c r="EV226" s="24"/>
      <c r="EW226" s="24"/>
      <c r="EX226" s="24"/>
      <c r="EY226" s="24"/>
      <c r="EZ226" s="24"/>
    </row>
    <row r="329" spans="45:45">
      <c r="AS329" s="7" t="s">
        <v>19</v>
      </c>
    </row>
    <row r="330" spans="45:45">
      <c r="AS330" s="7" t="s">
        <v>20</v>
      </c>
    </row>
    <row r="331" spans="45:45">
      <c r="AS331" s="5" t="s">
        <v>21</v>
      </c>
    </row>
    <row r="332" spans="45:45">
      <c r="AS332" s="5" t="s">
        <v>8</v>
      </c>
    </row>
  </sheetData>
  <sheetProtection formatColumns="0" formatRows="0"/>
  <mergeCells count="101">
    <mergeCell ref="A1:X1"/>
    <mergeCell ref="A2:X2"/>
    <mergeCell ref="R14:Y14"/>
    <mergeCell ref="U22:X22"/>
    <mergeCell ref="U23:X23"/>
    <mergeCell ref="U18:X18"/>
    <mergeCell ref="U19:X19"/>
    <mergeCell ref="U20:X20"/>
    <mergeCell ref="U21:X21"/>
    <mergeCell ref="D4:G4"/>
    <mergeCell ref="A4:B4"/>
    <mergeCell ref="A5:B5"/>
    <mergeCell ref="A6:B6"/>
    <mergeCell ref="A7:B7"/>
    <mergeCell ref="D5:G5"/>
    <mergeCell ref="D6:G6"/>
    <mergeCell ref="D7:G7"/>
    <mergeCell ref="A14:F14"/>
    <mergeCell ref="A8:B8"/>
    <mergeCell ref="A9:B9"/>
    <mergeCell ref="F16:F17"/>
    <mergeCell ref="D9:G9"/>
    <mergeCell ref="B16:B17"/>
    <mergeCell ref="C16:C17"/>
    <mergeCell ref="EQ3:EZ3"/>
    <mergeCell ref="EQ4:EQ5"/>
    <mergeCell ref="ER4:EZ4"/>
    <mergeCell ref="AB44:AB45"/>
    <mergeCell ref="DM4:DM5"/>
    <mergeCell ref="DN4:DV4"/>
    <mergeCell ref="DW4:DW5"/>
    <mergeCell ref="DX4:EF4"/>
    <mergeCell ref="DM3:DV3"/>
    <mergeCell ref="DW3:EF3"/>
    <mergeCell ref="EG3:EP3"/>
    <mergeCell ref="EG4:EG5"/>
    <mergeCell ref="EH4:EP4"/>
    <mergeCell ref="CI4:CI5"/>
    <mergeCell ref="CJ4:CR4"/>
    <mergeCell ref="CS4:CS5"/>
    <mergeCell ref="CT4:DB4"/>
    <mergeCell ref="DC4:DC5"/>
    <mergeCell ref="BO3:BX3"/>
    <mergeCell ref="BO4:BO5"/>
    <mergeCell ref="BP4:BX4"/>
    <mergeCell ref="BY3:CH3"/>
    <mergeCell ref="BZ4:CH4"/>
    <mergeCell ref="CI3:CR3"/>
    <mergeCell ref="DC3:DL3"/>
    <mergeCell ref="DD4:DL4"/>
    <mergeCell ref="T38:V38"/>
    <mergeCell ref="U37:V37"/>
    <mergeCell ref="AA3:AJ3"/>
    <mergeCell ref="AK3:AT3"/>
    <mergeCell ref="AU3:BD3"/>
    <mergeCell ref="BE3:BN3"/>
    <mergeCell ref="AA4:AA5"/>
    <mergeCell ref="AB4:AJ4"/>
    <mergeCell ref="AK4:AK5"/>
    <mergeCell ref="AL4:AT4"/>
    <mergeCell ref="AU4:AU5"/>
    <mergeCell ref="AV4:BD4"/>
    <mergeCell ref="BE4:BE5"/>
    <mergeCell ref="BF4:BN4"/>
    <mergeCell ref="BY4:BY5"/>
    <mergeCell ref="K42:K43"/>
    <mergeCell ref="L42:L43"/>
    <mergeCell ref="I16:I17"/>
    <mergeCell ref="K16:K17"/>
    <mergeCell ref="L16:L17"/>
    <mergeCell ref="Q71:R72"/>
    <mergeCell ref="N71:N72"/>
    <mergeCell ref="O71:O72"/>
    <mergeCell ref="CS3:DB3"/>
    <mergeCell ref="AP44:AP45"/>
    <mergeCell ref="AC44:AO44"/>
    <mergeCell ref="O16:O17"/>
    <mergeCell ref="B97:B98"/>
    <mergeCell ref="C97:C98"/>
    <mergeCell ref="E97:E98"/>
    <mergeCell ref="F97:F98"/>
    <mergeCell ref="H97:H98"/>
    <mergeCell ref="I97:I98"/>
    <mergeCell ref="B71:B72"/>
    <mergeCell ref="N16:N17"/>
    <mergeCell ref="E16:E17"/>
    <mergeCell ref="H16:H17"/>
    <mergeCell ref="K97:K98"/>
    <mergeCell ref="L97:L98"/>
    <mergeCell ref="K71:K72"/>
    <mergeCell ref="H71:H72"/>
    <mergeCell ref="I71:I72"/>
    <mergeCell ref="C71:C72"/>
    <mergeCell ref="E71:E72"/>
    <mergeCell ref="F71:F72"/>
    <mergeCell ref="B42:B43"/>
    <mergeCell ref="C42:C43"/>
    <mergeCell ref="E42:E43"/>
    <mergeCell ref="F42:F43"/>
    <mergeCell ref="H42:H43"/>
    <mergeCell ref="I42:I43"/>
  </mergeCells>
  <dataValidations count="29">
    <dataValidation allowBlank="1" showInputMessage="1" showErrorMessage="1" prompt="WU" sqref="O10"/>
    <dataValidation allowBlank="1" showInputMessage="1" showErrorMessage="1" prompt="FA" sqref="O9"/>
    <dataValidation allowBlank="1" showInputMessage="1" showErrorMessage="1" prompt="ZR" sqref="O8"/>
    <dataValidation allowBlank="1" showInputMessage="1" showErrorMessage="1" prompt="RA" sqref="O7"/>
    <dataValidation allowBlank="1" showInputMessage="1" showErrorMessage="1" prompt="ME" sqref="O6"/>
    <dataValidation allowBlank="1" showInputMessage="1" showErrorMessage="1" prompt="GE" sqref="O5"/>
    <dataValidation allowBlank="1" showInputMessage="1" showErrorMessage="1" prompt="AN" sqref="O4"/>
    <dataValidation allowBlank="1" showInputMessage="1" showErrorMessage="1" prompt="WA" sqref="O3"/>
    <dataValidation allowBlank="1" showInputMessage="1" showErrorMessage="1" prompt="Tujuan Tes" sqref="D9:G9"/>
    <dataValidation allowBlank="1" showInputMessage="1" showErrorMessage="1" prompt="Tanggal Tes" sqref="D7:G7"/>
    <dataValidation allowBlank="1" showInputMessage="1" showErrorMessage="1" prompt="Tanggal Lahir atau Usia" sqref="D6:G6 D8:G8"/>
    <dataValidation allowBlank="1" showInputMessage="1" showErrorMessage="1" prompt="Nama Peserta" sqref="D5:G5"/>
    <dataValidation allowBlank="1" showInputMessage="1" showErrorMessage="1" prompt="Nomor Peserta" sqref="D4"/>
    <dataValidation type="list" allowBlank="1" showInputMessage="1" showErrorMessage="1" sqref="L18">
      <formula1>"klik untuk pilih,bunga,kembang,perdu,tumbuh-tumbuhan,tumbuhan,tanaman,harum,tidak cocok"</formula1>
    </dataValidation>
    <dataValidation type="list" allowBlank="1" showInputMessage="1" showErrorMessage="1" sqref="L19">
      <formula1>"klik untuk pilih,alat indra,indra,panca indra,organ,organ tubuh,alat tubuh,bagian tubuh,tidak cocok"</formula1>
    </dataValidation>
    <dataValidation type="list" allowBlank="1" showInputMessage="1" showErrorMessage="1" sqref="L20">
      <formula1>"klik untuk pilih,hablur,kristal,zat arang,berkilau,berkilauan,mengkilat,bening,tidak cocok"</formula1>
    </dataValidation>
    <dataValidation type="list" allowBlank="1" showInputMessage="1" showErrorMessage="1" sqref="L21">
      <formula1>"Klik untuk pilih,cuaca,musim,air,basah,gejala alam"</formula1>
    </dataValidation>
    <dataValidation type="list" allowBlank="1" showInputMessage="1" showErrorMessage="1" sqref="L22">
      <formula1>"Klik untuk pilih,pembawa berita,alat perhubungan,alat komunikasi,pos,p.t.t,telekomunikasi,perhubungan,komunikasi,tidak cocok"</formula1>
    </dataValidation>
    <dataValidation type="list" allowBlank="1" showInputMessage="1" showErrorMessage="1" sqref="L23">
      <formula1>"Klik untuk pilih,alat optik,optik,lensa,tidak cocok"</formula1>
    </dataValidation>
    <dataValidation type="list" allowBlank="1" showInputMessage="1" showErrorMessage="1" sqref="L24">
      <formula1>"Klik untuk pilih,alat pencernaan,jalan makanan,perut,pencernaan,percernaan makanan,tidak cocok"</formula1>
    </dataValidation>
    <dataValidation type="list" allowBlank="1" showInputMessage="1" showErrorMessage="1" sqref="L25">
      <formula1>"Klik untuk pilih,penyebut jumlah,pengertian jumlah,jumlah,kuantitas,mengukur,ukuran,ukur,tidak cocok"</formula1>
    </dataValidation>
    <dataValidation type="list" allowBlank="1" showInputMessage="1" showErrorMessage="1" sqref="L26">
      <formula1>"Klik untuk pilih,bibit,bakal,alat pembiak,permulaan kehidupan,sel,pembiakan,perkembangbiakan,berkembang biak,tidak cocok"</formula1>
    </dataValidation>
    <dataValidation type="list" allowBlank="1" showInputMessage="1" showErrorMessage="1" sqref="L27">
      <formula1>"Klik untuk pilih,simbol,lambang,tanda,nama,pengenal,tanda pengenal,tidak cocok"</formula1>
    </dataValidation>
    <dataValidation type="list" allowBlank="1" showInputMessage="1" showErrorMessage="1" sqref="L28">
      <formula1>"Klik untuk pilih,makhluk,makhluk hidup,organisma,tumbuh,biologi,ilmu hayat,ilmu hayati,tidak cocok"</formula1>
    </dataValidation>
    <dataValidation type="list" allowBlank="1" showInputMessage="1" showErrorMessage="1" sqref="L29">
      <formula1>"Klik untuk pilih,wadah,tempat mengisi,tempat penyimpan,tempat sesuatu,alat,tempat,benda,tidak cocok"</formula1>
    </dataValidation>
    <dataValidation type="list" allowBlank="1" showInputMessage="1" showErrorMessage="1" sqref="L30">
      <formula1>"Klik untuk pilih,Pengertian waktu,batas,batas waktu,waktu,masa,saat,lamanya,lama,tidak cocok"</formula1>
    </dataValidation>
    <dataValidation type="list" allowBlank="1" showInputMessage="1" showErrorMessage="1" sqref="L31">
      <formula1>"Klik untuk pilih,sifat-watak,sifat-karakter,karakter,watak,sifat,tidak cocok"</formula1>
    </dataValidation>
    <dataValidation type="list" allowBlank="1" showInputMessage="1" showErrorMessage="1" sqref="L32">
      <formula1>"Klik untuk pilih,regulator harga,regulasi harga,pengertian ekonomi,dagang,niaga,penjualan,pembelian,jual beli,tidak cocok"</formula1>
    </dataValidation>
    <dataValidation type="list" allowBlank="1" showInputMessage="1" showErrorMessage="1" sqref="L33">
      <formula1>"Klik untuk pilih,pengertian ruang,penyebut ruang,arah,letak,penentuan daerah,tempat,ruang,penunjuk tempat,tidak cocok"</formula1>
    </dataValidation>
  </dataValidations>
  <printOptions horizontalCentered="1"/>
  <pageMargins left="0.75" right="0.75" top="1" bottom="1" header="0.5" footer="0.5"/>
  <pageSetup paperSize="9" orientation="portrait" horizontalDpi="360" verticalDpi="36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I93"/>
  <sheetViews>
    <sheetView zoomScale="70" zoomScaleNormal="7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L11" sqref="L11"/>
    </sheetView>
  </sheetViews>
  <sheetFormatPr defaultRowHeight="12.5"/>
  <cols>
    <col min="1" max="1" width="21.54296875" customWidth="1"/>
    <col min="2" max="2" width="33.453125" customWidth="1"/>
    <col min="3" max="3" width="31.54296875" customWidth="1"/>
    <col min="4" max="4" width="24.54296875" customWidth="1"/>
  </cols>
  <sheetData>
    <row r="1" spans="1:61" ht="12.75" customHeight="1">
      <c r="A1" s="193" t="s">
        <v>248</v>
      </c>
      <c r="B1" s="193"/>
      <c r="C1" s="193"/>
      <c r="D1" s="193"/>
      <c r="E1" s="102"/>
      <c r="F1" s="102"/>
      <c r="G1" s="195" t="s">
        <v>307</v>
      </c>
      <c r="H1" s="195"/>
      <c r="I1" s="195"/>
      <c r="J1" s="195"/>
      <c r="K1" s="195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103"/>
    </row>
    <row r="2" spans="1:61" ht="12.75" customHeight="1" thickBot="1">
      <c r="A2" s="193"/>
      <c r="B2" s="193"/>
      <c r="C2" s="193"/>
      <c r="D2" s="193"/>
      <c r="E2" s="102"/>
      <c r="F2" s="102"/>
      <c r="G2" s="195"/>
      <c r="H2" s="195"/>
      <c r="I2" s="195"/>
      <c r="J2" s="195"/>
      <c r="K2" s="195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</row>
    <row r="3" spans="1:61" ht="13">
      <c r="A3" s="105" t="s">
        <v>250</v>
      </c>
      <c r="B3" s="106">
        <f>IST!D4</f>
        <v>1</v>
      </c>
      <c r="C3" s="112" t="s">
        <v>295</v>
      </c>
      <c r="D3" s="112" t="s">
        <v>297</v>
      </c>
      <c r="E3" s="194" t="s">
        <v>305</v>
      </c>
      <c r="F3" s="103"/>
      <c r="G3" s="196" t="s">
        <v>308</v>
      </c>
      <c r="H3" s="197"/>
      <c r="I3" s="197"/>
      <c r="J3" s="197"/>
      <c r="K3" s="198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103"/>
      <c r="BG3" s="103"/>
      <c r="BH3" s="103"/>
      <c r="BI3" s="103"/>
    </row>
    <row r="4" spans="1:61" ht="13">
      <c r="A4" s="105" t="s">
        <v>249</v>
      </c>
      <c r="B4" s="106" t="str">
        <f>IST!D5</f>
        <v>Arman</v>
      </c>
      <c r="C4" s="112" t="s">
        <v>296</v>
      </c>
      <c r="D4" s="112" t="s">
        <v>298</v>
      </c>
      <c r="E4" s="194"/>
      <c r="F4" s="103"/>
      <c r="G4" s="199"/>
      <c r="H4" s="200"/>
      <c r="I4" s="200"/>
      <c r="J4" s="200"/>
      <c r="K4" s="201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3"/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03"/>
      <c r="BG4" s="103"/>
      <c r="BH4" s="103"/>
      <c r="BI4" s="103"/>
    </row>
    <row r="5" spans="1:61" ht="13">
      <c r="A5" s="105" t="s">
        <v>294</v>
      </c>
      <c r="B5" s="106">
        <f>IST!D8</f>
        <v>26</v>
      </c>
      <c r="C5" s="112" t="s">
        <v>299</v>
      </c>
      <c r="D5" s="112" t="s">
        <v>300</v>
      </c>
      <c r="E5" s="194"/>
      <c r="F5" s="103"/>
      <c r="G5" s="199"/>
      <c r="H5" s="200"/>
      <c r="I5" s="200"/>
      <c r="J5" s="200"/>
      <c r="K5" s="201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03"/>
      <c r="BG5" s="103"/>
      <c r="BH5" s="103"/>
      <c r="BI5" s="103"/>
    </row>
    <row r="6" spans="1:61" ht="13">
      <c r="A6" s="107" t="s">
        <v>251</v>
      </c>
      <c r="B6" s="108">
        <f>IST!D7</f>
        <v>43754</v>
      </c>
      <c r="C6" s="113" t="s">
        <v>301</v>
      </c>
      <c r="D6" s="113" t="s">
        <v>303</v>
      </c>
      <c r="E6" s="194"/>
      <c r="F6" s="104"/>
      <c r="G6" s="199"/>
      <c r="H6" s="200"/>
      <c r="I6" s="200"/>
      <c r="J6" s="200"/>
      <c r="K6" s="201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</row>
    <row r="7" spans="1:61">
      <c r="A7" s="98"/>
      <c r="B7" s="98"/>
      <c r="C7" s="114" t="s">
        <v>302</v>
      </c>
      <c r="D7" s="114" t="s">
        <v>304</v>
      </c>
      <c r="E7" s="194"/>
      <c r="F7" s="104"/>
      <c r="G7" s="199"/>
      <c r="H7" s="200"/>
      <c r="I7" s="200"/>
      <c r="J7" s="200"/>
      <c r="K7" s="201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</row>
    <row r="8" spans="1:61" ht="16" thickBot="1">
      <c r="A8" s="99" t="s">
        <v>104</v>
      </c>
      <c r="B8" s="100" t="s">
        <v>252</v>
      </c>
      <c r="C8" s="100" t="s">
        <v>253</v>
      </c>
      <c r="D8" s="101" t="s">
        <v>281</v>
      </c>
      <c r="E8" s="103"/>
      <c r="F8" s="103"/>
      <c r="G8" s="202"/>
      <c r="H8" s="203"/>
      <c r="I8" s="203"/>
      <c r="J8" s="203"/>
      <c r="K8" s="204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</row>
    <row r="9" spans="1:61" ht="75">
      <c r="A9" s="111" t="s">
        <v>254</v>
      </c>
      <c r="B9" s="109" t="s">
        <v>263</v>
      </c>
      <c r="C9" s="110" t="s">
        <v>272</v>
      </c>
      <c r="D9" s="122" t="str">
        <f>IST!W27</f>
        <v>Sangat Rendah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</row>
    <row r="10" spans="1:61" ht="65.25" customHeight="1">
      <c r="A10" s="111" t="s">
        <v>255</v>
      </c>
      <c r="B10" s="109" t="s">
        <v>264</v>
      </c>
      <c r="C10" s="110" t="s">
        <v>273</v>
      </c>
      <c r="D10" s="122" t="str">
        <f>IST!W28</f>
        <v>Sangat Rendah</v>
      </c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</row>
    <row r="11" spans="1:61" ht="100">
      <c r="A11" s="111" t="s">
        <v>256</v>
      </c>
      <c r="B11" s="109" t="s">
        <v>265</v>
      </c>
      <c r="C11" s="110" t="s">
        <v>274</v>
      </c>
      <c r="D11" s="122" t="str">
        <f>IST!W29</f>
        <v>Sangat Rendah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</row>
    <row r="12" spans="1:61" ht="62.5">
      <c r="A12" s="111" t="s">
        <v>257</v>
      </c>
      <c r="B12" s="109" t="s">
        <v>266</v>
      </c>
      <c r="C12" s="110" t="s">
        <v>275</v>
      </c>
      <c r="D12" s="122" t="str">
        <f>IST!W30</f>
        <v>Sangat Rendah</v>
      </c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</row>
    <row r="13" spans="1:61" ht="62.5">
      <c r="A13" s="111" t="s">
        <v>258</v>
      </c>
      <c r="B13" s="109" t="s">
        <v>267</v>
      </c>
      <c r="C13" s="110" t="s">
        <v>276</v>
      </c>
      <c r="D13" s="122" t="str">
        <f>IST!W31</f>
        <v>Sangat Rendah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</row>
    <row r="14" spans="1:61" ht="50">
      <c r="A14" s="111" t="s">
        <v>259</v>
      </c>
      <c r="B14" s="109" t="s">
        <v>268</v>
      </c>
      <c r="C14" s="110" t="s">
        <v>277</v>
      </c>
      <c r="D14" s="122" t="str">
        <f>IST!W32</f>
        <v>Sangat Rendah</v>
      </c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</row>
    <row r="15" spans="1:61" ht="50">
      <c r="A15" s="111" t="s">
        <v>260</v>
      </c>
      <c r="B15" s="109" t="s">
        <v>269</v>
      </c>
      <c r="C15" s="110" t="s">
        <v>278</v>
      </c>
      <c r="D15" s="122" t="str">
        <f>IST!W33</f>
        <v>Sangat Rendah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</row>
    <row r="16" spans="1:61" ht="37.5">
      <c r="A16" s="111" t="s">
        <v>261</v>
      </c>
      <c r="B16" s="109" t="s">
        <v>270</v>
      </c>
      <c r="C16" s="110" t="s">
        <v>279</v>
      </c>
      <c r="D16" s="122" t="str">
        <f>IST!W34</f>
        <v>Sangat Rendah</v>
      </c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</row>
    <row r="17" spans="1:53" ht="37.5">
      <c r="A17" s="111" t="s">
        <v>262</v>
      </c>
      <c r="B17" s="109" t="s">
        <v>271</v>
      </c>
      <c r="C17" s="110" t="s">
        <v>280</v>
      </c>
      <c r="D17" s="122" t="str">
        <f>IST!W35</f>
        <v>Sangat Rendah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</row>
    <row r="18" spans="1:53">
      <c r="A18" s="205" t="s">
        <v>306</v>
      </c>
      <c r="B18" s="205"/>
      <c r="C18" s="205"/>
      <c r="D18" s="205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</row>
    <row r="19" spans="1:53">
      <c r="A19" s="205"/>
      <c r="B19" s="205"/>
      <c r="C19" s="205"/>
      <c r="D19" s="205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</row>
    <row r="20" spans="1:53" ht="48.75" customHeight="1">
      <c r="A20" s="208" t="s">
        <v>282</v>
      </c>
      <c r="B20" s="206" t="s">
        <v>283</v>
      </c>
      <c r="C20" s="117" t="s">
        <v>284</v>
      </c>
      <c r="D20" s="123" t="e">
        <f>IF(IST!A130&gt;IST!C130,"YES",NO)</f>
        <v>#NAME?</v>
      </c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</row>
    <row r="21" spans="1:53" ht="44.25" customHeight="1" thickBot="1">
      <c r="A21" s="209"/>
      <c r="B21" s="207"/>
      <c r="C21" s="118" t="s">
        <v>285</v>
      </c>
      <c r="D21" s="124" t="e">
        <f>IF(IST!A130&gt;IST!C130,"NO",YES)</f>
        <v>#NAME?</v>
      </c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</row>
    <row r="22" spans="1:53" ht="64.5" customHeight="1">
      <c r="A22" s="191" t="s">
        <v>288</v>
      </c>
      <c r="B22" s="189" t="s">
        <v>289</v>
      </c>
      <c r="C22" s="119" t="s">
        <v>290</v>
      </c>
      <c r="D22" s="115" t="s">
        <v>292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</row>
    <row r="23" spans="1:53" ht="55.5" customHeight="1" thickBot="1">
      <c r="A23" s="192"/>
      <c r="B23" s="190"/>
      <c r="C23" s="120" t="s">
        <v>291</v>
      </c>
      <c r="D23" s="116" t="s">
        <v>293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</row>
    <row r="24" spans="1:53">
      <c r="A24" s="103"/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</row>
    <row r="25" spans="1:53">
      <c r="A25" s="103"/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</row>
    <row r="26" spans="1:53">
      <c r="A26" s="103"/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</row>
    <row r="27" spans="1:53">
      <c r="A27" s="103"/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</row>
    <row r="28" spans="1:53">
      <c r="A28" s="103"/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</row>
    <row r="29" spans="1:53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</row>
    <row r="30" spans="1:53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</row>
    <row r="31" spans="1:53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</row>
    <row r="32" spans="1:53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</row>
    <row r="33" spans="1:37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</row>
    <row r="34" spans="1:37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</row>
    <row r="35" spans="1:37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</row>
    <row r="36" spans="1:37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</row>
    <row r="37" spans="1:37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</row>
    <row r="38" spans="1:37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</row>
    <row r="39" spans="1:37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</row>
    <row r="40" spans="1:37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</row>
    <row r="41" spans="1:37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</row>
    <row r="42" spans="1:37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</row>
    <row r="43" spans="1:37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</row>
    <row r="44" spans="1:37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</row>
    <row r="45" spans="1:37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</row>
    <row r="46" spans="1:37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</row>
    <row r="47" spans="1:37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</row>
    <row r="48" spans="1:37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</row>
    <row r="49" spans="1:37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</row>
    <row r="50" spans="1:37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</row>
    <row r="51" spans="1:37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</row>
    <row r="52" spans="1:37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</row>
    <row r="53" spans="1:37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</row>
    <row r="54" spans="1:37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</row>
    <row r="55" spans="1:37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</row>
    <row r="56" spans="1:37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</row>
    <row r="57" spans="1:37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</row>
    <row r="58" spans="1:37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</row>
    <row r="59" spans="1:37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</row>
    <row r="60" spans="1:37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</row>
    <row r="61" spans="1:37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</row>
    <row r="62" spans="1:37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</row>
    <row r="63" spans="1:37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</row>
    <row r="64" spans="1:37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</row>
    <row r="65" spans="1:37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</row>
    <row r="66" spans="1:37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</row>
    <row r="67" spans="1:37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</row>
    <row r="68" spans="1:37">
      <c r="A68" s="103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</row>
    <row r="69" spans="1:37">
      <c r="A69" s="103"/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</row>
    <row r="70" spans="1:37">
      <c r="A70" s="103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</row>
    <row r="71" spans="1:37">
      <c r="A71" s="103"/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</row>
    <row r="72" spans="1:37">
      <c r="A72" s="103"/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</row>
    <row r="73" spans="1:37">
      <c r="A73" s="103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</row>
    <row r="74" spans="1:37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</row>
    <row r="75" spans="1:37">
      <c r="A75" s="103"/>
      <c r="B75" s="103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</row>
    <row r="76" spans="1:37">
      <c r="A76" s="103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</row>
    <row r="77" spans="1:37">
      <c r="A77" s="103"/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</row>
    <row r="78" spans="1:37">
      <c r="A78" s="103"/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</row>
    <row r="79" spans="1:37">
      <c r="A79" s="103"/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</row>
    <row r="80" spans="1:37">
      <c r="A80" s="103"/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</row>
    <row r="81" spans="1:37">
      <c r="A81" s="103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</row>
    <row r="82" spans="1:37">
      <c r="A82" s="103"/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</row>
    <row r="83" spans="1:37">
      <c r="A83" s="103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</row>
    <row r="84" spans="1:37">
      <c r="A84" s="103"/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</row>
    <row r="85" spans="1:37">
      <c r="A85" s="103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</row>
    <row r="86" spans="1:37">
      <c r="A86" s="103"/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</row>
    <row r="87" spans="1:37">
      <c r="A87" s="103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</row>
    <row r="88" spans="1:37"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</row>
    <row r="89" spans="1:37"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</row>
    <row r="90" spans="1:37"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</row>
    <row r="91" spans="1:37"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</row>
    <row r="92" spans="1:37"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</row>
    <row r="93" spans="1:37"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</row>
  </sheetData>
  <sheetProtection algorithmName="SHA-512" hashValue="nGJbACuhesJEDFhVtl63ljRYnmjRkv8RLCSzBcrdfNS+41LAfkcRE2iMQ23dm4lZPU8cta1wzPNtLG6KGaxjIA==" saltValue="5XaU7hh5+siEcWByup+i5g==" spinCount="100000" sheet="1" objects="1" scenarios="1" formatColumns="0" formatRows="0"/>
  <mergeCells count="9">
    <mergeCell ref="B22:B23"/>
    <mergeCell ref="A22:A23"/>
    <mergeCell ref="A1:D2"/>
    <mergeCell ref="E3:E7"/>
    <mergeCell ref="G1:K2"/>
    <mergeCell ref="G3:K8"/>
    <mergeCell ref="A18:D19"/>
    <mergeCell ref="B20:B21"/>
    <mergeCell ref="A20:A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1:Q80"/>
  <sheetViews>
    <sheetView topLeftCell="J7" zoomScale="120" zoomScaleNormal="120" workbookViewId="0">
      <selection activeCell="R8" sqref="R8"/>
    </sheetView>
  </sheetViews>
  <sheetFormatPr defaultColWidth="9.1796875" defaultRowHeight="14.5"/>
  <cols>
    <col min="1" max="11" width="9.1796875" style="78"/>
    <col min="12" max="12" width="9.54296875" style="78" bestFit="1" customWidth="1"/>
    <col min="13" max="16384" width="9.1796875" style="78"/>
  </cols>
  <sheetData>
    <row r="1" spans="2:17">
      <c r="B1" s="210" t="s">
        <v>104</v>
      </c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</row>
    <row r="2" spans="2:17">
      <c r="B2" s="84" t="s">
        <v>96</v>
      </c>
      <c r="C2" s="84" t="s">
        <v>103</v>
      </c>
      <c r="D2" s="84" t="s">
        <v>96</v>
      </c>
      <c r="E2" s="84" t="s">
        <v>102</v>
      </c>
      <c r="F2" s="84" t="s">
        <v>96</v>
      </c>
      <c r="G2" s="84" t="s">
        <v>101</v>
      </c>
      <c r="H2" s="84" t="s">
        <v>96</v>
      </c>
      <c r="I2" s="84" t="s">
        <v>100</v>
      </c>
      <c r="J2" s="84" t="s">
        <v>96</v>
      </c>
      <c r="K2" s="84" t="s">
        <v>99</v>
      </c>
      <c r="L2" s="84" t="s">
        <v>96</v>
      </c>
      <c r="M2" s="84" t="s">
        <v>98</v>
      </c>
      <c r="N2" s="84" t="s">
        <v>96</v>
      </c>
      <c r="O2" s="84" t="s">
        <v>97</v>
      </c>
      <c r="P2" s="84" t="s">
        <v>96</v>
      </c>
      <c r="Q2" s="84" t="s">
        <v>95</v>
      </c>
    </row>
    <row r="3" spans="2:17">
      <c r="B3" s="83">
        <v>1</v>
      </c>
      <c r="C3" s="83" t="s">
        <v>93</v>
      </c>
      <c r="D3" s="83">
        <v>21</v>
      </c>
      <c r="E3" s="83" t="s">
        <v>94</v>
      </c>
      <c r="F3" s="83">
        <v>41</v>
      </c>
      <c r="G3" s="83" t="s">
        <v>91</v>
      </c>
      <c r="H3" s="83">
        <v>77</v>
      </c>
      <c r="I3" s="83">
        <v>35</v>
      </c>
      <c r="J3" s="83">
        <v>97</v>
      </c>
      <c r="K3" s="83">
        <v>27</v>
      </c>
      <c r="L3" s="83">
        <v>117</v>
      </c>
      <c r="M3" s="83" t="s">
        <v>92</v>
      </c>
      <c r="N3" s="83">
        <v>137</v>
      </c>
      <c r="O3" s="83" t="s">
        <v>92</v>
      </c>
      <c r="P3" s="83">
        <v>157</v>
      </c>
      <c r="Q3" s="83" t="s">
        <v>90</v>
      </c>
    </row>
    <row r="4" spans="2:17">
      <c r="B4" s="83">
        <v>2</v>
      </c>
      <c r="C4" s="83" t="s">
        <v>91</v>
      </c>
      <c r="D4" s="83">
        <v>22</v>
      </c>
      <c r="E4" s="83" t="s">
        <v>94</v>
      </c>
      <c r="F4" s="83">
        <v>42</v>
      </c>
      <c r="G4" s="83" t="s">
        <v>93</v>
      </c>
      <c r="H4" s="83">
        <v>78</v>
      </c>
      <c r="I4" s="83">
        <v>280</v>
      </c>
      <c r="J4" s="83">
        <v>98</v>
      </c>
      <c r="K4" s="83">
        <v>25</v>
      </c>
      <c r="L4" s="83">
        <v>118</v>
      </c>
      <c r="M4" s="83" t="s">
        <v>91</v>
      </c>
      <c r="N4" s="83">
        <v>138</v>
      </c>
      <c r="O4" s="83" t="s">
        <v>91</v>
      </c>
      <c r="P4" s="83">
        <v>158</v>
      </c>
      <c r="Q4" s="83" t="s">
        <v>93</v>
      </c>
    </row>
    <row r="5" spans="2:17">
      <c r="B5" s="83">
        <v>3</v>
      </c>
      <c r="C5" s="83" t="s">
        <v>90</v>
      </c>
      <c r="D5" s="83">
        <v>23</v>
      </c>
      <c r="E5" s="83" t="s">
        <v>90</v>
      </c>
      <c r="F5" s="83">
        <v>43</v>
      </c>
      <c r="G5" s="83" t="s">
        <v>90</v>
      </c>
      <c r="H5" s="83">
        <v>79</v>
      </c>
      <c r="I5" s="83">
        <v>205</v>
      </c>
      <c r="J5" s="83">
        <v>99</v>
      </c>
      <c r="K5" s="83">
        <v>27</v>
      </c>
      <c r="L5" s="83">
        <v>119</v>
      </c>
      <c r="M5" s="83" t="s">
        <v>94</v>
      </c>
      <c r="N5" s="83">
        <v>139</v>
      </c>
      <c r="O5" s="83" t="s">
        <v>90</v>
      </c>
      <c r="P5" s="83">
        <v>159</v>
      </c>
      <c r="Q5" s="83" t="s">
        <v>94</v>
      </c>
    </row>
    <row r="6" spans="2:17">
      <c r="B6" s="83">
        <v>4</v>
      </c>
      <c r="C6" s="83" t="s">
        <v>90</v>
      </c>
      <c r="D6" s="83">
        <v>24</v>
      </c>
      <c r="E6" s="83" t="s">
        <v>91</v>
      </c>
      <c r="F6" s="83">
        <v>44</v>
      </c>
      <c r="G6" s="83" t="s">
        <v>90</v>
      </c>
      <c r="H6" s="83">
        <v>80</v>
      </c>
      <c r="I6" s="83">
        <v>26</v>
      </c>
      <c r="J6" s="83">
        <v>100</v>
      </c>
      <c r="K6" s="83">
        <v>15</v>
      </c>
      <c r="L6" s="83">
        <v>120</v>
      </c>
      <c r="M6" s="83" t="s">
        <v>92</v>
      </c>
      <c r="N6" s="83">
        <v>140</v>
      </c>
      <c r="O6" s="83" t="s">
        <v>93</v>
      </c>
      <c r="P6" s="83">
        <v>160</v>
      </c>
      <c r="Q6" s="83" t="s">
        <v>92</v>
      </c>
    </row>
    <row r="7" spans="2:17">
      <c r="B7" s="83">
        <v>5</v>
      </c>
      <c r="C7" s="83" t="s">
        <v>90</v>
      </c>
      <c r="D7" s="83">
        <v>25</v>
      </c>
      <c r="E7" s="83" t="s">
        <v>91</v>
      </c>
      <c r="F7" s="83">
        <v>45</v>
      </c>
      <c r="G7" s="83" t="s">
        <v>90</v>
      </c>
      <c r="H7" s="83">
        <v>81</v>
      </c>
      <c r="I7" s="83">
        <v>30</v>
      </c>
      <c r="J7" s="83">
        <v>101</v>
      </c>
      <c r="K7" s="83">
        <v>46</v>
      </c>
      <c r="L7" s="83">
        <v>121</v>
      </c>
      <c r="M7" s="83" t="s">
        <v>90</v>
      </c>
      <c r="N7" s="83">
        <v>141</v>
      </c>
      <c r="O7" s="83" t="s">
        <v>92</v>
      </c>
      <c r="P7" s="83">
        <v>161</v>
      </c>
      <c r="Q7" s="83" t="s">
        <v>91</v>
      </c>
    </row>
    <row r="8" spans="2:17">
      <c r="B8" s="83">
        <v>6</v>
      </c>
      <c r="C8" s="83" t="s">
        <v>94</v>
      </c>
      <c r="D8" s="83">
        <v>26</v>
      </c>
      <c r="E8" s="83" t="s">
        <v>91</v>
      </c>
      <c r="F8" s="83">
        <v>46</v>
      </c>
      <c r="G8" s="83" t="s">
        <v>92</v>
      </c>
      <c r="H8" s="83">
        <v>82</v>
      </c>
      <c r="I8" s="83">
        <v>70</v>
      </c>
      <c r="J8" s="83">
        <v>102</v>
      </c>
      <c r="K8" s="83">
        <v>10</v>
      </c>
      <c r="L8" s="83">
        <v>122</v>
      </c>
      <c r="M8" s="83" t="s">
        <v>94</v>
      </c>
      <c r="N8" s="83">
        <v>142</v>
      </c>
      <c r="O8" s="83" t="s">
        <v>91</v>
      </c>
      <c r="P8" s="83">
        <v>162</v>
      </c>
      <c r="Q8" s="83" t="s">
        <v>92</v>
      </c>
    </row>
    <row r="9" spans="2:17">
      <c r="B9" s="83">
        <v>7</v>
      </c>
      <c r="C9" s="83" t="s">
        <v>91</v>
      </c>
      <c r="D9" s="83">
        <v>27</v>
      </c>
      <c r="E9" s="83" t="s">
        <v>91</v>
      </c>
      <c r="F9" s="83">
        <v>47</v>
      </c>
      <c r="G9" s="83" t="s">
        <v>90</v>
      </c>
      <c r="H9" s="83">
        <v>83</v>
      </c>
      <c r="I9" s="83">
        <v>45</v>
      </c>
      <c r="J9" s="83">
        <v>103</v>
      </c>
      <c r="K9" s="83">
        <v>42</v>
      </c>
      <c r="L9" s="83">
        <v>123</v>
      </c>
      <c r="M9" s="83" t="s">
        <v>91</v>
      </c>
      <c r="N9" s="83">
        <v>143</v>
      </c>
      <c r="O9" s="83" t="s">
        <v>90</v>
      </c>
      <c r="P9" s="83">
        <v>163</v>
      </c>
      <c r="Q9" s="83" t="s">
        <v>90</v>
      </c>
    </row>
    <row r="10" spans="2:17">
      <c r="B10" s="83">
        <v>8</v>
      </c>
      <c r="C10" s="83" t="s">
        <v>92</v>
      </c>
      <c r="D10" s="83">
        <v>28</v>
      </c>
      <c r="E10" s="83" t="s">
        <v>90</v>
      </c>
      <c r="F10" s="83">
        <v>48</v>
      </c>
      <c r="G10" s="83" t="s">
        <v>94</v>
      </c>
      <c r="H10" s="83">
        <v>84</v>
      </c>
      <c r="I10" s="83">
        <v>50</v>
      </c>
      <c r="J10" s="83">
        <v>104</v>
      </c>
      <c r="K10" s="83">
        <v>7</v>
      </c>
      <c r="L10" s="83">
        <v>124</v>
      </c>
      <c r="M10" s="83" t="s">
        <v>93</v>
      </c>
      <c r="N10" s="83">
        <v>144</v>
      </c>
      <c r="O10" s="83" t="s">
        <v>91</v>
      </c>
      <c r="P10" s="83">
        <v>164</v>
      </c>
      <c r="Q10" s="83" t="s">
        <v>93</v>
      </c>
    </row>
    <row r="11" spans="2:17">
      <c r="B11" s="83">
        <v>9</v>
      </c>
      <c r="C11" s="83" t="s">
        <v>93</v>
      </c>
      <c r="D11" s="83">
        <v>29</v>
      </c>
      <c r="E11" s="83" t="s">
        <v>90</v>
      </c>
      <c r="F11" s="83">
        <v>49</v>
      </c>
      <c r="G11" s="83" t="s">
        <v>93</v>
      </c>
      <c r="H11" s="83">
        <v>85</v>
      </c>
      <c r="I11" s="83">
        <v>84</v>
      </c>
      <c r="J11" s="83">
        <v>105</v>
      </c>
      <c r="K11" s="83">
        <v>5</v>
      </c>
      <c r="L11" s="83">
        <v>125</v>
      </c>
      <c r="M11" s="83" t="s">
        <v>93</v>
      </c>
      <c r="N11" s="83">
        <v>145</v>
      </c>
      <c r="O11" s="83" t="s">
        <v>93</v>
      </c>
      <c r="P11" s="83">
        <v>165</v>
      </c>
      <c r="Q11" s="83" t="s">
        <v>91</v>
      </c>
    </row>
    <row r="12" spans="2:17">
      <c r="B12" s="83">
        <v>10</v>
      </c>
      <c r="C12" s="83" t="s">
        <v>94</v>
      </c>
      <c r="D12" s="83">
        <v>30</v>
      </c>
      <c r="E12" s="83" t="s">
        <v>92</v>
      </c>
      <c r="F12" s="83">
        <v>50</v>
      </c>
      <c r="G12" s="83" t="s">
        <v>90</v>
      </c>
      <c r="H12" s="83">
        <v>86</v>
      </c>
      <c r="I12" s="83">
        <v>78</v>
      </c>
      <c r="J12" s="83">
        <v>106</v>
      </c>
      <c r="K12" s="83">
        <v>14</v>
      </c>
      <c r="L12" s="83">
        <v>126</v>
      </c>
      <c r="M12" s="83" t="s">
        <v>90</v>
      </c>
      <c r="N12" s="83">
        <v>146</v>
      </c>
      <c r="O12" s="83" t="s">
        <v>92</v>
      </c>
      <c r="P12" s="83">
        <v>166</v>
      </c>
      <c r="Q12" s="83" t="s">
        <v>94</v>
      </c>
    </row>
    <row r="13" spans="2:17">
      <c r="B13" s="83">
        <v>11</v>
      </c>
      <c r="C13" s="83" t="s">
        <v>91</v>
      </c>
      <c r="D13" s="83">
        <v>31</v>
      </c>
      <c r="E13" s="83" t="s">
        <v>93</v>
      </c>
      <c r="F13" s="83">
        <v>51</v>
      </c>
      <c r="G13" s="83" t="s">
        <v>91</v>
      </c>
      <c r="H13" s="83">
        <v>87</v>
      </c>
      <c r="I13" s="83">
        <v>19</v>
      </c>
      <c r="J13" s="83">
        <v>107</v>
      </c>
      <c r="K13" s="83">
        <v>8</v>
      </c>
      <c r="L13" s="83">
        <v>127</v>
      </c>
      <c r="M13" s="83" t="s">
        <v>93</v>
      </c>
      <c r="N13" s="83">
        <v>147</v>
      </c>
      <c r="O13" s="83" t="s">
        <v>94</v>
      </c>
      <c r="P13" s="83">
        <v>167</v>
      </c>
      <c r="Q13" s="83" t="s">
        <v>94</v>
      </c>
    </row>
    <row r="14" spans="2:17">
      <c r="B14" s="83">
        <v>12</v>
      </c>
      <c r="C14" s="83" t="s">
        <v>90</v>
      </c>
      <c r="D14" s="83">
        <v>32</v>
      </c>
      <c r="E14" s="83" t="s">
        <v>92</v>
      </c>
      <c r="F14" s="83">
        <v>52</v>
      </c>
      <c r="G14" s="83" t="s">
        <v>91</v>
      </c>
      <c r="H14" s="83">
        <v>88</v>
      </c>
      <c r="I14" s="83">
        <v>6</v>
      </c>
      <c r="J14" s="83">
        <v>108</v>
      </c>
      <c r="K14" s="83">
        <v>14</v>
      </c>
      <c r="L14" s="83">
        <v>128</v>
      </c>
      <c r="M14" s="83" t="s">
        <v>94</v>
      </c>
      <c r="N14" s="83">
        <v>148</v>
      </c>
      <c r="O14" s="83" t="s">
        <v>90</v>
      </c>
      <c r="P14" s="83">
        <v>168</v>
      </c>
      <c r="Q14" s="83" t="s">
        <v>92</v>
      </c>
    </row>
    <row r="15" spans="2:17">
      <c r="B15" s="83">
        <v>13</v>
      </c>
      <c r="C15" s="83" t="s">
        <v>90</v>
      </c>
      <c r="D15" s="83">
        <v>33</v>
      </c>
      <c r="E15" s="83" t="s">
        <v>92</v>
      </c>
      <c r="F15" s="83">
        <v>53</v>
      </c>
      <c r="G15" s="83" t="s">
        <v>91</v>
      </c>
      <c r="H15" s="83">
        <v>89</v>
      </c>
      <c r="I15" s="83">
        <v>75</v>
      </c>
      <c r="J15" s="83">
        <v>109</v>
      </c>
      <c r="K15" s="83">
        <v>45</v>
      </c>
      <c r="L15" s="83">
        <v>129</v>
      </c>
      <c r="M15" s="83" t="s">
        <v>90</v>
      </c>
      <c r="N15" s="83">
        <v>149</v>
      </c>
      <c r="O15" s="83" t="s">
        <v>93</v>
      </c>
      <c r="P15" s="83">
        <v>169</v>
      </c>
      <c r="Q15" s="83" t="s">
        <v>93</v>
      </c>
    </row>
    <row r="16" spans="2:17">
      <c r="B16" s="83">
        <v>14</v>
      </c>
      <c r="C16" s="83" t="s">
        <v>93</v>
      </c>
      <c r="D16" s="83">
        <v>34</v>
      </c>
      <c r="E16" s="83" t="s">
        <v>94</v>
      </c>
      <c r="F16" s="83">
        <v>54</v>
      </c>
      <c r="G16" s="83" t="s">
        <v>91</v>
      </c>
      <c r="H16" s="83">
        <v>90</v>
      </c>
      <c r="I16" s="83">
        <v>90</v>
      </c>
      <c r="J16" s="83">
        <v>110</v>
      </c>
      <c r="K16" s="83">
        <v>63</v>
      </c>
      <c r="L16" s="83">
        <v>130</v>
      </c>
      <c r="M16" s="83" t="s">
        <v>91</v>
      </c>
      <c r="N16" s="83">
        <v>150</v>
      </c>
      <c r="O16" s="83" t="s">
        <v>94</v>
      </c>
      <c r="P16" s="83">
        <v>170</v>
      </c>
      <c r="Q16" s="83" t="s">
        <v>91</v>
      </c>
    </row>
    <row r="17" spans="2:17">
      <c r="B17" s="83">
        <v>15</v>
      </c>
      <c r="C17" s="83" t="s">
        <v>91</v>
      </c>
      <c r="D17" s="83">
        <v>35</v>
      </c>
      <c r="E17" s="83" t="s">
        <v>91</v>
      </c>
      <c r="F17" s="83">
        <v>55</v>
      </c>
      <c r="G17" s="83" t="s">
        <v>90</v>
      </c>
      <c r="H17" s="83">
        <v>91</v>
      </c>
      <c r="I17" s="83">
        <v>120</v>
      </c>
      <c r="J17" s="83">
        <v>111</v>
      </c>
      <c r="K17" s="83">
        <v>12</v>
      </c>
      <c r="L17" s="83">
        <v>131</v>
      </c>
      <c r="M17" s="83" t="s">
        <v>94</v>
      </c>
      <c r="N17" s="83">
        <v>151</v>
      </c>
      <c r="O17" s="83" t="s">
        <v>90</v>
      </c>
      <c r="P17" s="83">
        <v>171</v>
      </c>
      <c r="Q17" s="83" t="s">
        <v>90</v>
      </c>
    </row>
    <row r="18" spans="2:17">
      <c r="B18" s="83">
        <v>16</v>
      </c>
      <c r="C18" s="83" t="s">
        <v>92</v>
      </c>
      <c r="D18" s="83">
        <v>36</v>
      </c>
      <c r="E18" s="83" t="s">
        <v>92</v>
      </c>
      <c r="F18" s="83">
        <v>56</v>
      </c>
      <c r="G18" s="83" t="s">
        <v>91</v>
      </c>
      <c r="H18" s="83">
        <v>92</v>
      </c>
      <c r="I18" s="83">
        <v>17</v>
      </c>
      <c r="J18" s="83">
        <v>112</v>
      </c>
      <c r="K18" s="83">
        <v>80</v>
      </c>
      <c r="L18" s="83">
        <v>132</v>
      </c>
      <c r="M18" s="83" t="s">
        <v>92</v>
      </c>
      <c r="N18" s="83">
        <v>152</v>
      </c>
      <c r="O18" s="83" t="s">
        <v>94</v>
      </c>
      <c r="P18" s="83">
        <v>172</v>
      </c>
      <c r="Q18" s="83" t="s">
        <v>94</v>
      </c>
    </row>
    <row r="19" spans="2:17">
      <c r="B19" s="83">
        <v>17</v>
      </c>
      <c r="C19" s="83" t="s">
        <v>94</v>
      </c>
      <c r="D19" s="83">
        <v>37</v>
      </c>
      <c r="E19" s="83" t="s">
        <v>90</v>
      </c>
      <c r="F19" s="83">
        <v>57</v>
      </c>
      <c r="G19" s="83" t="s">
        <v>91</v>
      </c>
      <c r="H19" s="83">
        <v>93</v>
      </c>
      <c r="I19" s="83">
        <v>36</v>
      </c>
      <c r="J19" s="83">
        <v>113</v>
      </c>
      <c r="K19" s="83">
        <v>14</v>
      </c>
      <c r="L19" s="83">
        <v>133</v>
      </c>
      <c r="M19" s="83" t="s">
        <v>94</v>
      </c>
      <c r="N19" s="83">
        <v>153</v>
      </c>
      <c r="O19" s="83" t="s">
        <v>92</v>
      </c>
      <c r="P19" s="83">
        <v>173</v>
      </c>
      <c r="Q19" s="83" t="s">
        <v>93</v>
      </c>
    </row>
    <row r="20" spans="2:17">
      <c r="B20" s="83">
        <v>18</v>
      </c>
      <c r="C20" s="83" t="s">
        <v>94</v>
      </c>
      <c r="D20" s="83">
        <v>38</v>
      </c>
      <c r="E20" s="83" t="s">
        <v>93</v>
      </c>
      <c r="F20" s="83">
        <v>58</v>
      </c>
      <c r="G20" s="83" t="s">
        <v>90</v>
      </c>
      <c r="H20" s="83">
        <v>94</v>
      </c>
      <c r="I20" s="83">
        <v>5</v>
      </c>
      <c r="J20" s="83">
        <v>114</v>
      </c>
      <c r="K20" s="83">
        <v>12</v>
      </c>
      <c r="L20" s="83">
        <v>134</v>
      </c>
      <c r="M20" s="83" t="s">
        <v>90</v>
      </c>
      <c r="N20" s="83">
        <v>154</v>
      </c>
      <c r="O20" s="83" t="s">
        <v>93</v>
      </c>
      <c r="P20" s="83">
        <v>174</v>
      </c>
      <c r="Q20" s="83" t="s">
        <v>92</v>
      </c>
    </row>
    <row r="21" spans="2:17">
      <c r="B21" s="83">
        <v>19</v>
      </c>
      <c r="C21" s="83" t="s">
        <v>91</v>
      </c>
      <c r="D21" s="83">
        <v>39</v>
      </c>
      <c r="E21" s="83" t="s">
        <v>94</v>
      </c>
      <c r="F21" s="83">
        <v>59</v>
      </c>
      <c r="G21" s="83" t="s">
        <v>93</v>
      </c>
      <c r="H21" s="83">
        <v>95</v>
      </c>
      <c r="I21" s="83">
        <v>48</v>
      </c>
      <c r="J21" s="83">
        <v>115</v>
      </c>
      <c r="K21" s="83">
        <v>63</v>
      </c>
      <c r="L21" s="83">
        <v>135</v>
      </c>
      <c r="M21" s="83" t="s">
        <v>91</v>
      </c>
      <c r="N21" s="83">
        <v>155</v>
      </c>
      <c r="O21" s="83" t="s">
        <v>94</v>
      </c>
      <c r="P21" s="83">
        <v>175</v>
      </c>
      <c r="Q21" s="83" t="s">
        <v>91</v>
      </c>
    </row>
    <row r="22" spans="2:17">
      <c r="B22" s="83">
        <v>20</v>
      </c>
      <c r="C22" s="83" t="s">
        <v>94</v>
      </c>
      <c r="D22" s="83">
        <v>40</v>
      </c>
      <c r="E22" s="83" t="s">
        <v>91</v>
      </c>
      <c r="F22" s="83">
        <v>60</v>
      </c>
      <c r="G22" s="83" t="s">
        <v>93</v>
      </c>
      <c r="H22" s="83">
        <v>96</v>
      </c>
      <c r="I22" s="83">
        <v>1</v>
      </c>
      <c r="J22" s="83">
        <v>116</v>
      </c>
      <c r="K22" s="83">
        <v>10</v>
      </c>
      <c r="L22" s="83">
        <v>136</v>
      </c>
      <c r="M22" s="83" t="s">
        <v>92</v>
      </c>
      <c r="N22" s="83">
        <v>156</v>
      </c>
      <c r="O22" s="83" t="s">
        <v>91</v>
      </c>
      <c r="P22" s="83">
        <v>176</v>
      </c>
      <c r="Q22" s="83" t="s">
        <v>90</v>
      </c>
    </row>
    <row r="27" spans="2:17">
      <c r="G27" s="81"/>
      <c r="I27" s="81"/>
      <c r="K27" s="81"/>
    </row>
    <row r="28" spans="2:17">
      <c r="E28" s="82"/>
    </row>
    <row r="29" spans="2:17">
      <c r="G29" s="82"/>
      <c r="H29" s="81"/>
    </row>
    <row r="34" spans="4:12">
      <c r="D34" s="79"/>
      <c r="E34" s="79"/>
      <c r="F34" s="79"/>
      <c r="G34" s="79"/>
      <c r="K34" s="79"/>
      <c r="L34" s="79"/>
    </row>
    <row r="35" spans="4:12">
      <c r="D35" s="79"/>
      <c r="E35" s="80"/>
      <c r="F35" s="80"/>
      <c r="G35" s="80"/>
      <c r="H35" s="80"/>
      <c r="I35" s="80"/>
      <c r="J35" s="80"/>
      <c r="K35" s="80"/>
      <c r="L35" s="80"/>
    </row>
    <row r="36" spans="4:12">
      <c r="D36" s="79"/>
      <c r="E36" s="79"/>
      <c r="F36" s="79"/>
      <c r="G36" s="79"/>
      <c r="H36" s="79"/>
      <c r="I36" s="79"/>
      <c r="J36" s="79"/>
      <c r="K36" s="79"/>
      <c r="L36" s="80"/>
    </row>
    <row r="37" spans="4:12">
      <c r="D37" s="79"/>
      <c r="E37" s="79"/>
      <c r="F37" s="79"/>
      <c r="G37" s="79"/>
      <c r="H37" s="79"/>
      <c r="I37" s="79"/>
      <c r="J37" s="79"/>
      <c r="K37" s="79"/>
      <c r="L37" s="79"/>
    </row>
    <row r="38" spans="4:12">
      <c r="D38" s="79"/>
      <c r="E38" s="79"/>
      <c r="F38" s="79"/>
      <c r="G38" s="79"/>
      <c r="H38" s="79"/>
      <c r="I38" s="79"/>
      <c r="J38" s="79"/>
      <c r="K38" s="79"/>
      <c r="L38" s="79"/>
    </row>
    <row r="39" spans="4:12">
      <c r="D39" s="79"/>
      <c r="E39" s="79"/>
      <c r="F39" s="79"/>
      <c r="G39" s="79"/>
      <c r="H39" s="79"/>
      <c r="I39" s="79"/>
      <c r="J39" s="79"/>
      <c r="K39" s="79"/>
    </row>
    <row r="40" spans="4:12">
      <c r="D40" s="79"/>
    </row>
    <row r="41" spans="4:12">
      <c r="D41" s="79"/>
    </row>
    <row r="42" spans="4:12">
      <c r="D42" s="79"/>
    </row>
    <row r="43" spans="4:12">
      <c r="D43" s="79"/>
    </row>
    <row r="44" spans="4:12">
      <c r="D44" s="79"/>
    </row>
    <row r="45" spans="4:12">
      <c r="D45" s="79"/>
    </row>
    <row r="46" spans="4:12">
      <c r="D46" s="79"/>
    </row>
    <row r="47" spans="4:12">
      <c r="D47" s="79"/>
    </row>
    <row r="48" spans="4:12">
      <c r="D48" s="79"/>
    </row>
    <row r="49" spans="4:4">
      <c r="D49" s="79"/>
    </row>
    <row r="50" spans="4:4">
      <c r="D50" s="79"/>
    </row>
    <row r="51" spans="4:4">
      <c r="D51" s="79"/>
    </row>
    <row r="52" spans="4:4">
      <c r="D52" s="79"/>
    </row>
    <row r="53" spans="4:4">
      <c r="D53" s="79"/>
    </row>
    <row r="54" spans="4:4">
      <c r="D54" s="79"/>
    </row>
    <row r="55" spans="4:4">
      <c r="D55" s="79"/>
    </row>
    <row r="56" spans="4:4">
      <c r="D56" s="79"/>
    </row>
    <row r="57" spans="4:4">
      <c r="D57" s="79"/>
    </row>
    <row r="58" spans="4:4">
      <c r="D58" s="79"/>
    </row>
    <row r="59" spans="4:4">
      <c r="D59" s="79"/>
    </row>
    <row r="60" spans="4:4">
      <c r="D60" s="79"/>
    </row>
    <row r="61" spans="4:4">
      <c r="D61" s="79"/>
    </row>
    <row r="62" spans="4:4">
      <c r="D62" s="79"/>
    </row>
    <row r="63" spans="4:4">
      <c r="D63" s="79"/>
    </row>
    <row r="64" spans="4:4">
      <c r="D64" s="79"/>
    </row>
    <row r="65" spans="4:4">
      <c r="D65" s="79"/>
    </row>
    <row r="66" spans="4:4">
      <c r="D66" s="79"/>
    </row>
    <row r="67" spans="4:4">
      <c r="D67" s="79"/>
    </row>
    <row r="68" spans="4:4">
      <c r="D68" s="79"/>
    </row>
    <row r="69" spans="4:4">
      <c r="D69" s="79"/>
    </row>
    <row r="70" spans="4:4">
      <c r="D70" s="79"/>
    </row>
    <row r="71" spans="4:4">
      <c r="D71" s="79"/>
    </row>
    <row r="72" spans="4:4">
      <c r="D72" s="79"/>
    </row>
    <row r="73" spans="4:4">
      <c r="D73" s="79"/>
    </row>
    <row r="74" spans="4:4">
      <c r="D74" s="79"/>
    </row>
    <row r="75" spans="4:4">
      <c r="D75" s="79"/>
    </row>
    <row r="76" spans="4:4">
      <c r="D76" s="79"/>
    </row>
    <row r="77" spans="4:4">
      <c r="D77" s="79"/>
    </row>
    <row r="78" spans="4:4">
      <c r="D78" s="79"/>
    </row>
    <row r="79" spans="4:4">
      <c r="D79" s="79"/>
    </row>
    <row r="80" spans="4:4">
      <c r="D80" s="79"/>
    </row>
  </sheetData>
  <sheetProtection algorithmName="SHA-512" hashValue="3qIytW2rhvmaxmprsDEdf4FzIQ/5z88aXf1tbTOUOG9e0csqRIfUbe9UyVnYKN6KimIDVutzzJj7/HRZAeVCRQ==" saltValue="IYc5JTRWyzCpkpoO6Ka5Rg==" spinCount="100000" sheet="1" objects="1" scenarios="1"/>
  <mergeCells count="1">
    <mergeCell ref="B1:Q1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Q59"/>
  <sheetViews>
    <sheetView workbookViewId="0">
      <selection activeCell="F15" sqref="F15"/>
    </sheetView>
  </sheetViews>
  <sheetFormatPr defaultColWidth="9.1796875" defaultRowHeight="14.5"/>
  <cols>
    <col min="1" max="1" width="4.54296875" style="78" customWidth="1"/>
    <col min="2" max="2" width="8.7265625" style="78" customWidth="1"/>
    <col min="3" max="3" width="6.1796875" style="78" customWidth="1"/>
    <col min="4" max="4" width="4.54296875" style="78" customWidth="1"/>
    <col min="5" max="5" width="8.7265625" style="78" customWidth="1"/>
    <col min="6" max="6" width="6.1796875" style="78" customWidth="1"/>
    <col min="7" max="7" width="4.54296875" style="78" customWidth="1"/>
    <col min="8" max="8" width="8.7265625" style="78" customWidth="1"/>
    <col min="9" max="9" width="6.1796875" style="78" customWidth="1"/>
    <col min="10" max="10" width="4.54296875" style="78" customWidth="1"/>
    <col min="11" max="11" width="8.7265625" style="78" customWidth="1"/>
    <col min="12" max="12" width="6.1796875" style="78" customWidth="1"/>
    <col min="13" max="13" width="4.54296875" style="78" customWidth="1"/>
    <col min="14" max="14" width="8.7265625" style="78" customWidth="1"/>
    <col min="15" max="15" width="9.1796875" style="78"/>
    <col min="16" max="16" width="5" style="78" customWidth="1"/>
    <col min="17" max="16384" width="9.1796875" style="78"/>
  </cols>
  <sheetData>
    <row r="1" spans="1:14" ht="18.5">
      <c r="A1" s="211" t="s">
        <v>105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</row>
    <row r="2" spans="1:14">
      <c r="A2" s="212"/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</row>
    <row r="3" spans="1:14">
      <c r="A3" s="78" t="s">
        <v>0</v>
      </c>
      <c r="D3" s="78" t="s">
        <v>1</v>
      </c>
      <c r="L3" s="85" t="s">
        <v>106</v>
      </c>
    </row>
    <row r="4" spans="1:14">
      <c r="A4" s="78" t="s">
        <v>3</v>
      </c>
      <c r="D4" s="86" t="s">
        <v>1</v>
      </c>
      <c r="E4" s="86"/>
      <c r="F4" s="86"/>
      <c r="G4" s="86"/>
      <c r="H4" s="86"/>
      <c r="I4" s="86"/>
      <c r="J4" s="86"/>
    </row>
    <row r="5" spans="1:14">
      <c r="A5" s="78" t="s">
        <v>107</v>
      </c>
      <c r="D5" s="86" t="s">
        <v>1</v>
      </c>
      <c r="E5" s="86"/>
      <c r="F5" s="86"/>
      <c r="G5" s="86"/>
      <c r="H5" s="86"/>
      <c r="I5" s="86"/>
      <c r="J5" s="86"/>
      <c r="K5" s="87" t="s">
        <v>108</v>
      </c>
      <c r="L5" s="88"/>
      <c r="M5" s="78" t="s">
        <v>109</v>
      </c>
    </row>
    <row r="6" spans="1:14">
      <c r="A6" s="78" t="s">
        <v>110</v>
      </c>
      <c r="D6" s="86" t="s">
        <v>1</v>
      </c>
      <c r="E6" s="86"/>
      <c r="F6" s="86"/>
      <c r="G6" s="86"/>
      <c r="H6" s="86"/>
      <c r="I6" s="86"/>
      <c r="J6" s="86"/>
    </row>
    <row r="7" spans="1:14">
      <c r="A7" s="78" t="s">
        <v>111</v>
      </c>
      <c r="D7" s="86" t="s">
        <v>1</v>
      </c>
      <c r="E7" s="86"/>
      <c r="F7" s="86"/>
      <c r="G7" s="86"/>
      <c r="H7" s="86"/>
      <c r="I7" s="86"/>
      <c r="J7" s="86"/>
    </row>
    <row r="8" spans="1:14">
      <c r="A8" s="78" t="s">
        <v>112</v>
      </c>
      <c r="D8" s="88" t="s">
        <v>1</v>
      </c>
      <c r="E8" s="88"/>
      <c r="F8" s="88"/>
      <c r="G8" s="88"/>
      <c r="H8" s="88"/>
      <c r="I8" s="88"/>
      <c r="J8" s="88"/>
    </row>
    <row r="10" spans="1:14">
      <c r="A10" s="213" t="s">
        <v>113</v>
      </c>
      <c r="B10" s="213"/>
      <c r="C10" s="85"/>
      <c r="D10" s="213" t="s">
        <v>114</v>
      </c>
      <c r="E10" s="213"/>
      <c r="F10" s="85"/>
      <c r="G10" s="213" t="s">
        <v>115</v>
      </c>
      <c r="H10" s="213"/>
      <c r="I10" s="85"/>
      <c r="J10" s="213" t="s">
        <v>116</v>
      </c>
      <c r="K10" s="213"/>
      <c r="L10" s="213"/>
      <c r="M10" s="213"/>
      <c r="N10" s="85"/>
    </row>
    <row r="11" spans="1:14">
      <c r="A11" s="89" t="s">
        <v>117</v>
      </c>
      <c r="B11" s="89" t="s">
        <v>118</v>
      </c>
      <c r="C11" s="85"/>
      <c r="D11" s="89" t="s">
        <v>117</v>
      </c>
      <c r="E11" s="89" t="s">
        <v>118</v>
      </c>
      <c r="F11" s="85"/>
      <c r="G11" s="89" t="s">
        <v>117</v>
      </c>
      <c r="H11" s="89" t="s">
        <v>118</v>
      </c>
      <c r="I11" s="85"/>
      <c r="J11" s="89" t="s">
        <v>117</v>
      </c>
      <c r="K11" s="213" t="s">
        <v>118</v>
      </c>
      <c r="L11" s="213"/>
      <c r="M11" s="213"/>
      <c r="N11" s="85"/>
    </row>
    <row r="12" spans="1:14">
      <c r="A12" s="89">
        <v>1</v>
      </c>
      <c r="B12" s="89" t="s">
        <v>93</v>
      </c>
      <c r="C12" s="85"/>
      <c r="D12" s="89">
        <v>21</v>
      </c>
      <c r="E12" s="89" t="s">
        <v>92</v>
      </c>
      <c r="F12" s="85"/>
      <c r="G12" s="89">
        <v>41</v>
      </c>
      <c r="H12" s="89" t="s">
        <v>91</v>
      </c>
      <c r="I12" s="85"/>
      <c r="J12" s="90">
        <v>61</v>
      </c>
      <c r="K12" s="213"/>
      <c r="L12" s="213"/>
      <c r="M12" s="213"/>
      <c r="N12" s="85"/>
    </row>
    <row r="13" spans="1:14">
      <c r="A13" s="89">
        <v>2</v>
      </c>
      <c r="B13" s="89" t="s">
        <v>91</v>
      </c>
      <c r="C13" s="85"/>
      <c r="D13" s="89">
        <v>22</v>
      </c>
      <c r="E13" s="89" t="s">
        <v>92</v>
      </c>
      <c r="F13" s="85"/>
      <c r="G13" s="89">
        <v>42</v>
      </c>
      <c r="H13" s="89" t="s">
        <v>93</v>
      </c>
      <c r="I13" s="85"/>
      <c r="J13" s="89">
        <v>62</v>
      </c>
      <c r="K13" s="213"/>
      <c r="L13" s="213"/>
      <c r="M13" s="213"/>
      <c r="N13" s="85"/>
    </row>
    <row r="14" spans="1:14">
      <c r="A14" s="89">
        <v>3</v>
      </c>
      <c r="B14" s="89" t="s">
        <v>90</v>
      </c>
      <c r="C14" s="85"/>
      <c r="D14" s="89">
        <v>23</v>
      </c>
      <c r="E14" s="89" t="s">
        <v>90</v>
      </c>
      <c r="F14" s="85"/>
      <c r="G14" s="89">
        <v>43</v>
      </c>
      <c r="H14" s="89" t="s">
        <v>90</v>
      </c>
      <c r="I14" s="85"/>
      <c r="J14" s="89">
        <v>63</v>
      </c>
      <c r="K14" s="213"/>
      <c r="L14" s="213"/>
      <c r="M14" s="213"/>
      <c r="N14" s="85"/>
    </row>
    <row r="15" spans="1:14">
      <c r="A15" s="89">
        <v>4</v>
      </c>
      <c r="B15" s="89" t="s">
        <v>90</v>
      </c>
      <c r="C15" s="85"/>
      <c r="D15" s="89">
        <v>24</v>
      </c>
      <c r="E15" s="89" t="s">
        <v>91</v>
      </c>
      <c r="F15" s="85"/>
      <c r="G15" s="89">
        <v>44</v>
      </c>
      <c r="H15" s="89" t="s">
        <v>90</v>
      </c>
      <c r="I15" s="85"/>
      <c r="J15" s="89">
        <v>64</v>
      </c>
      <c r="K15" s="213"/>
      <c r="L15" s="213"/>
      <c r="M15" s="213"/>
      <c r="N15" s="85"/>
    </row>
    <row r="16" spans="1:14">
      <c r="A16" s="89">
        <v>5</v>
      </c>
      <c r="B16" s="89" t="s">
        <v>90</v>
      </c>
      <c r="C16" s="85"/>
      <c r="D16" s="89">
        <v>25</v>
      </c>
      <c r="E16" s="89" t="s">
        <v>91</v>
      </c>
      <c r="F16" s="85"/>
      <c r="G16" s="89">
        <v>45</v>
      </c>
      <c r="H16" s="89" t="s">
        <v>90</v>
      </c>
      <c r="I16" s="85"/>
      <c r="J16" s="89">
        <v>65</v>
      </c>
      <c r="K16" s="213"/>
      <c r="L16" s="213"/>
      <c r="M16" s="213"/>
      <c r="N16" s="85"/>
    </row>
    <row r="17" spans="1:14">
      <c r="A17" s="89">
        <v>6</v>
      </c>
      <c r="B17" s="89" t="s">
        <v>90</v>
      </c>
      <c r="C17" s="85"/>
      <c r="D17" s="89">
        <v>26</v>
      </c>
      <c r="E17" s="89" t="s">
        <v>91</v>
      </c>
      <c r="F17" s="85"/>
      <c r="G17" s="89">
        <v>46</v>
      </c>
      <c r="H17" s="89" t="s">
        <v>94</v>
      </c>
      <c r="I17" s="85"/>
      <c r="J17" s="89">
        <v>66</v>
      </c>
      <c r="K17" s="213"/>
      <c r="L17" s="213"/>
      <c r="M17" s="213"/>
      <c r="N17" s="85"/>
    </row>
    <row r="18" spans="1:14">
      <c r="A18" s="89">
        <v>7</v>
      </c>
      <c r="B18" s="89" t="s">
        <v>91</v>
      </c>
      <c r="C18" s="85"/>
      <c r="D18" s="89">
        <v>27</v>
      </c>
      <c r="E18" s="89" t="s">
        <v>91</v>
      </c>
      <c r="F18" s="85"/>
      <c r="G18" s="89">
        <v>47</v>
      </c>
      <c r="H18" s="89" t="s">
        <v>90</v>
      </c>
      <c r="I18" s="85"/>
      <c r="J18" s="89">
        <v>67</v>
      </c>
      <c r="K18" s="213"/>
      <c r="L18" s="213"/>
      <c r="M18" s="213"/>
      <c r="N18" s="85"/>
    </row>
    <row r="19" spans="1:14">
      <c r="A19" s="89">
        <v>8</v>
      </c>
      <c r="B19" s="89" t="s">
        <v>92</v>
      </c>
      <c r="C19" s="85"/>
      <c r="D19" s="89">
        <v>28</v>
      </c>
      <c r="E19" s="89" t="s">
        <v>90</v>
      </c>
      <c r="F19" s="85"/>
      <c r="G19" s="89">
        <v>48</v>
      </c>
      <c r="H19" s="89" t="s">
        <v>92</v>
      </c>
      <c r="I19" s="85"/>
      <c r="J19" s="89">
        <v>68</v>
      </c>
      <c r="K19" s="213"/>
      <c r="L19" s="213"/>
      <c r="M19" s="213"/>
      <c r="N19" s="85"/>
    </row>
    <row r="20" spans="1:14">
      <c r="A20" s="89">
        <v>9</v>
      </c>
      <c r="B20" s="89" t="s">
        <v>93</v>
      </c>
      <c r="C20" s="85"/>
      <c r="D20" s="89">
        <v>29</v>
      </c>
      <c r="E20" s="89" t="s">
        <v>90</v>
      </c>
      <c r="F20" s="85"/>
      <c r="G20" s="89">
        <v>49</v>
      </c>
      <c r="H20" s="89" t="s">
        <v>93</v>
      </c>
      <c r="I20" s="85"/>
      <c r="J20" s="89">
        <v>69</v>
      </c>
      <c r="K20" s="213"/>
      <c r="L20" s="213"/>
      <c r="M20" s="213"/>
      <c r="N20" s="85"/>
    </row>
    <row r="21" spans="1:14">
      <c r="A21" s="89">
        <v>10</v>
      </c>
      <c r="B21" s="89" t="s">
        <v>94</v>
      </c>
      <c r="C21" s="85"/>
      <c r="D21" s="89">
        <v>30</v>
      </c>
      <c r="E21" s="89" t="s">
        <v>92</v>
      </c>
      <c r="F21" s="85"/>
      <c r="G21" s="89">
        <v>50</v>
      </c>
      <c r="H21" s="89" t="s">
        <v>90</v>
      </c>
      <c r="I21" s="85"/>
      <c r="J21" s="89">
        <v>70</v>
      </c>
      <c r="K21" s="213"/>
      <c r="L21" s="213"/>
      <c r="M21" s="213"/>
      <c r="N21" s="85"/>
    </row>
    <row r="22" spans="1:14">
      <c r="A22" s="89">
        <v>11</v>
      </c>
      <c r="B22" s="89" t="s">
        <v>91</v>
      </c>
      <c r="C22" s="85"/>
      <c r="D22" s="89">
        <v>31</v>
      </c>
      <c r="E22" s="89" t="s">
        <v>91</v>
      </c>
      <c r="F22" s="85"/>
      <c r="G22" s="89">
        <v>51</v>
      </c>
      <c r="H22" s="89" t="s">
        <v>91</v>
      </c>
      <c r="I22" s="85"/>
      <c r="J22" s="89">
        <v>71</v>
      </c>
      <c r="K22" s="213"/>
      <c r="L22" s="213"/>
      <c r="M22" s="213"/>
      <c r="N22" s="85"/>
    </row>
    <row r="23" spans="1:14">
      <c r="A23" s="89">
        <v>12</v>
      </c>
      <c r="B23" s="89" t="s">
        <v>90</v>
      </c>
      <c r="C23" s="85"/>
      <c r="D23" s="89">
        <v>32</v>
      </c>
      <c r="E23" s="89" t="s">
        <v>92</v>
      </c>
      <c r="F23" s="85"/>
      <c r="G23" s="89">
        <v>52</v>
      </c>
      <c r="H23" s="89" t="s">
        <v>91</v>
      </c>
      <c r="I23" s="85"/>
      <c r="J23" s="89">
        <v>72</v>
      </c>
      <c r="K23" s="213"/>
      <c r="L23" s="213"/>
      <c r="M23" s="213"/>
      <c r="N23" s="85"/>
    </row>
    <row r="24" spans="1:14">
      <c r="A24" s="89">
        <v>13</v>
      </c>
      <c r="B24" s="89" t="s">
        <v>90</v>
      </c>
      <c r="C24" s="85"/>
      <c r="D24" s="89">
        <v>33</v>
      </c>
      <c r="E24" s="89" t="s">
        <v>92</v>
      </c>
      <c r="F24" s="85"/>
      <c r="G24" s="89">
        <v>53</v>
      </c>
      <c r="H24" s="89" t="s">
        <v>91</v>
      </c>
      <c r="I24" s="85"/>
      <c r="J24" s="89">
        <v>73</v>
      </c>
      <c r="K24" s="213"/>
      <c r="L24" s="213"/>
      <c r="M24" s="213"/>
      <c r="N24" s="85"/>
    </row>
    <row r="25" spans="1:14">
      <c r="A25" s="89">
        <v>14</v>
      </c>
      <c r="B25" s="89" t="s">
        <v>93</v>
      </c>
      <c r="C25" s="85"/>
      <c r="D25" s="89">
        <v>34</v>
      </c>
      <c r="E25" s="89" t="s">
        <v>94</v>
      </c>
      <c r="F25" s="85"/>
      <c r="G25" s="89">
        <v>54</v>
      </c>
      <c r="H25" s="89" t="s">
        <v>91</v>
      </c>
      <c r="I25" s="85"/>
      <c r="J25" s="89">
        <v>74</v>
      </c>
      <c r="K25" s="213"/>
      <c r="L25" s="213"/>
      <c r="M25" s="213"/>
      <c r="N25" s="85"/>
    </row>
    <row r="26" spans="1:14">
      <c r="A26" s="89">
        <v>15</v>
      </c>
      <c r="B26" s="89" t="s">
        <v>91</v>
      </c>
      <c r="C26" s="85"/>
      <c r="D26" s="89">
        <v>35</v>
      </c>
      <c r="E26" s="89" t="s">
        <v>91</v>
      </c>
      <c r="F26" s="85"/>
      <c r="G26" s="89">
        <v>55</v>
      </c>
      <c r="H26" s="89" t="s">
        <v>90</v>
      </c>
      <c r="I26" s="85"/>
      <c r="J26" s="89">
        <v>75</v>
      </c>
      <c r="K26" s="213"/>
      <c r="L26" s="213"/>
      <c r="M26" s="213"/>
      <c r="N26" s="85"/>
    </row>
    <row r="27" spans="1:14">
      <c r="A27" s="89">
        <v>16</v>
      </c>
      <c r="B27" s="89" t="s">
        <v>92</v>
      </c>
      <c r="C27" s="85"/>
      <c r="D27" s="89">
        <v>36</v>
      </c>
      <c r="E27" s="89" t="s">
        <v>92</v>
      </c>
      <c r="F27" s="85"/>
      <c r="G27" s="89">
        <v>56</v>
      </c>
      <c r="H27" s="89" t="s">
        <v>91</v>
      </c>
      <c r="I27" s="85"/>
      <c r="J27" s="89">
        <v>76</v>
      </c>
      <c r="K27" s="213"/>
      <c r="L27" s="213"/>
      <c r="M27" s="213"/>
      <c r="N27" s="85"/>
    </row>
    <row r="28" spans="1:14">
      <c r="A28" s="89">
        <v>17</v>
      </c>
      <c r="B28" s="89" t="s">
        <v>94</v>
      </c>
      <c r="C28" s="85"/>
      <c r="D28" s="89">
        <v>37</v>
      </c>
      <c r="E28" s="89" t="s">
        <v>90</v>
      </c>
      <c r="F28" s="85"/>
      <c r="G28" s="89">
        <v>57</v>
      </c>
      <c r="H28" s="89" t="s">
        <v>91</v>
      </c>
      <c r="I28" s="85"/>
      <c r="J28" s="85"/>
      <c r="K28" s="85"/>
      <c r="L28" s="85"/>
      <c r="M28" s="85"/>
      <c r="N28" s="85"/>
    </row>
    <row r="29" spans="1:14">
      <c r="A29" s="89">
        <v>18</v>
      </c>
      <c r="B29" s="89" t="s">
        <v>93</v>
      </c>
      <c r="C29" s="85"/>
      <c r="D29" s="89">
        <v>38</v>
      </c>
      <c r="E29" s="89" t="s">
        <v>93</v>
      </c>
      <c r="F29" s="85"/>
      <c r="G29" s="89">
        <v>58</v>
      </c>
      <c r="H29" s="89" t="s">
        <v>90</v>
      </c>
      <c r="I29" s="85"/>
      <c r="J29" s="89" t="s">
        <v>2</v>
      </c>
      <c r="K29" s="89"/>
      <c r="L29" s="85"/>
      <c r="M29" s="85"/>
      <c r="N29" s="85"/>
    </row>
    <row r="30" spans="1:14">
      <c r="A30" s="89">
        <v>19</v>
      </c>
      <c r="B30" s="89" t="s">
        <v>91</v>
      </c>
      <c r="C30" s="85"/>
      <c r="D30" s="89">
        <v>39</v>
      </c>
      <c r="E30" s="89" t="s">
        <v>94</v>
      </c>
      <c r="F30" s="85"/>
      <c r="G30" s="89">
        <v>59</v>
      </c>
      <c r="H30" s="89" t="s">
        <v>93</v>
      </c>
      <c r="I30" s="85"/>
      <c r="J30" s="85"/>
      <c r="K30" s="85"/>
      <c r="L30" s="85"/>
      <c r="M30" s="85"/>
      <c r="N30" s="85"/>
    </row>
    <row r="31" spans="1:14">
      <c r="A31" s="89">
        <v>20</v>
      </c>
      <c r="B31" s="89" t="s">
        <v>94</v>
      </c>
      <c r="C31" s="85"/>
      <c r="D31" s="89">
        <v>40</v>
      </c>
      <c r="E31" s="89" t="s">
        <v>91</v>
      </c>
      <c r="F31" s="85"/>
      <c r="G31" s="89">
        <v>60</v>
      </c>
      <c r="H31" s="89" t="s">
        <v>93</v>
      </c>
      <c r="I31" s="85"/>
      <c r="J31" s="85"/>
      <c r="K31" s="85"/>
      <c r="L31" s="85"/>
      <c r="M31" s="85"/>
      <c r="N31" s="85"/>
    </row>
    <row r="32" spans="1:14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</row>
    <row r="33" spans="1:17">
      <c r="A33" s="89" t="s">
        <v>2</v>
      </c>
      <c r="B33" s="89"/>
      <c r="C33" s="85"/>
      <c r="D33" s="89" t="s">
        <v>2</v>
      </c>
      <c r="E33" s="89"/>
      <c r="F33" s="85"/>
      <c r="G33" s="89" t="s">
        <v>2</v>
      </c>
      <c r="H33" s="89"/>
      <c r="I33" s="85"/>
      <c r="J33" s="85"/>
      <c r="K33" s="85"/>
      <c r="L33" s="85"/>
      <c r="M33" s="85"/>
      <c r="N33" s="85"/>
    </row>
    <row r="34" spans="1:17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</row>
    <row r="35" spans="1:17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</row>
    <row r="36" spans="1:17">
      <c r="A36" s="213" t="s">
        <v>119</v>
      </c>
      <c r="B36" s="213"/>
      <c r="C36" s="85"/>
      <c r="D36" s="213" t="s">
        <v>120</v>
      </c>
      <c r="E36" s="213"/>
      <c r="F36" s="85"/>
      <c r="G36" s="213" t="s">
        <v>121</v>
      </c>
      <c r="H36" s="213"/>
      <c r="I36" s="85"/>
      <c r="J36" s="213" t="s">
        <v>122</v>
      </c>
      <c r="K36" s="213"/>
      <c r="L36" s="85"/>
      <c r="M36" s="213" t="s">
        <v>123</v>
      </c>
      <c r="N36" s="213"/>
      <c r="P36" s="214"/>
      <c r="Q36" s="214"/>
    </row>
    <row r="37" spans="1:17">
      <c r="A37" s="89" t="s">
        <v>117</v>
      </c>
      <c r="B37" s="89" t="s">
        <v>118</v>
      </c>
      <c r="C37" s="85"/>
      <c r="D37" s="89" t="s">
        <v>117</v>
      </c>
      <c r="E37" s="89" t="s">
        <v>118</v>
      </c>
      <c r="F37" s="85"/>
      <c r="G37" s="89" t="s">
        <v>117</v>
      </c>
      <c r="H37" s="89" t="s">
        <v>118</v>
      </c>
      <c r="I37" s="85"/>
      <c r="J37" s="89" t="s">
        <v>117</v>
      </c>
      <c r="K37" s="89" t="s">
        <v>118</v>
      </c>
      <c r="L37" s="85"/>
      <c r="M37" s="89" t="s">
        <v>117</v>
      </c>
      <c r="N37" s="89" t="s">
        <v>118</v>
      </c>
    </row>
    <row r="38" spans="1:17">
      <c r="A38" s="89">
        <v>77</v>
      </c>
      <c r="B38" s="89"/>
      <c r="C38" s="85"/>
      <c r="D38" s="89">
        <v>97</v>
      </c>
      <c r="E38" s="89"/>
      <c r="F38" s="85"/>
      <c r="G38" s="89">
        <v>117</v>
      </c>
      <c r="H38" s="89"/>
      <c r="I38" s="85"/>
      <c r="J38" s="89">
        <v>137</v>
      </c>
      <c r="K38" s="89"/>
      <c r="L38" s="85"/>
      <c r="M38" s="89">
        <v>157</v>
      </c>
      <c r="N38" s="89"/>
    </row>
    <row r="39" spans="1:17">
      <c r="A39" s="89">
        <v>78</v>
      </c>
      <c r="B39" s="89"/>
      <c r="C39" s="85"/>
      <c r="D39" s="89">
        <v>98</v>
      </c>
      <c r="E39" s="89"/>
      <c r="F39" s="85"/>
      <c r="G39" s="89">
        <v>118</v>
      </c>
      <c r="H39" s="89"/>
      <c r="I39" s="85"/>
      <c r="J39" s="89">
        <v>138</v>
      </c>
      <c r="K39" s="89"/>
      <c r="L39" s="85"/>
      <c r="M39" s="89">
        <v>158</v>
      </c>
      <c r="N39" s="89"/>
    </row>
    <row r="40" spans="1:17">
      <c r="A40" s="89">
        <v>79</v>
      </c>
      <c r="B40" s="89"/>
      <c r="C40" s="85"/>
      <c r="D40" s="89">
        <v>99</v>
      </c>
      <c r="E40" s="89"/>
      <c r="F40" s="85"/>
      <c r="G40" s="89">
        <v>119</v>
      </c>
      <c r="H40" s="89"/>
      <c r="I40" s="85"/>
      <c r="J40" s="89">
        <v>139</v>
      </c>
      <c r="K40" s="89"/>
      <c r="L40" s="85"/>
      <c r="M40" s="89">
        <v>159</v>
      </c>
      <c r="N40" s="89"/>
    </row>
    <row r="41" spans="1:17">
      <c r="A41" s="89">
        <v>80</v>
      </c>
      <c r="B41" s="89"/>
      <c r="C41" s="85"/>
      <c r="D41" s="89">
        <v>100</v>
      </c>
      <c r="E41" s="89"/>
      <c r="F41" s="85"/>
      <c r="G41" s="89">
        <v>120</v>
      </c>
      <c r="H41" s="89"/>
      <c r="I41" s="85"/>
      <c r="J41" s="89">
        <v>140</v>
      </c>
      <c r="K41" s="89"/>
      <c r="L41" s="85"/>
      <c r="M41" s="89">
        <v>160</v>
      </c>
      <c r="N41" s="89"/>
    </row>
    <row r="42" spans="1:17">
      <c r="A42" s="89">
        <v>81</v>
      </c>
      <c r="B42" s="89"/>
      <c r="C42" s="85"/>
      <c r="D42" s="89">
        <v>101</v>
      </c>
      <c r="E42" s="89"/>
      <c r="F42" s="85"/>
      <c r="G42" s="89">
        <v>121</v>
      </c>
      <c r="H42" s="89"/>
      <c r="I42" s="85"/>
      <c r="J42" s="89">
        <v>141</v>
      </c>
      <c r="K42" s="89"/>
      <c r="L42" s="85"/>
      <c r="M42" s="89">
        <v>161</v>
      </c>
      <c r="N42" s="89"/>
    </row>
    <row r="43" spans="1:17">
      <c r="A43" s="89">
        <v>82</v>
      </c>
      <c r="B43" s="89"/>
      <c r="C43" s="85"/>
      <c r="D43" s="89">
        <v>102</v>
      </c>
      <c r="E43" s="89"/>
      <c r="F43" s="85"/>
      <c r="G43" s="89">
        <v>122</v>
      </c>
      <c r="H43" s="89"/>
      <c r="I43" s="85"/>
      <c r="J43" s="89">
        <v>142</v>
      </c>
      <c r="K43" s="89"/>
      <c r="L43" s="85"/>
      <c r="M43" s="89">
        <v>162</v>
      </c>
      <c r="N43" s="89"/>
    </row>
    <row r="44" spans="1:17">
      <c r="A44" s="89">
        <v>83</v>
      </c>
      <c r="B44" s="89"/>
      <c r="C44" s="85"/>
      <c r="D44" s="89">
        <v>103</v>
      </c>
      <c r="E44" s="89"/>
      <c r="F44" s="85"/>
      <c r="G44" s="89">
        <v>123</v>
      </c>
      <c r="H44" s="89"/>
      <c r="I44" s="85"/>
      <c r="J44" s="89">
        <v>143</v>
      </c>
      <c r="K44" s="89"/>
      <c r="L44" s="85"/>
      <c r="M44" s="89">
        <v>163</v>
      </c>
      <c r="N44" s="89"/>
    </row>
    <row r="45" spans="1:17">
      <c r="A45" s="89">
        <v>84</v>
      </c>
      <c r="B45" s="89"/>
      <c r="C45" s="85"/>
      <c r="D45" s="89">
        <v>104</v>
      </c>
      <c r="E45" s="89"/>
      <c r="F45" s="85"/>
      <c r="G45" s="89">
        <v>124</v>
      </c>
      <c r="H45" s="89"/>
      <c r="I45" s="85"/>
      <c r="J45" s="89">
        <v>144</v>
      </c>
      <c r="K45" s="89"/>
      <c r="L45" s="85"/>
      <c r="M45" s="89">
        <v>164</v>
      </c>
      <c r="N45" s="89"/>
    </row>
    <row r="46" spans="1:17">
      <c r="A46" s="89">
        <v>85</v>
      </c>
      <c r="B46" s="89"/>
      <c r="C46" s="85"/>
      <c r="D46" s="89">
        <v>105</v>
      </c>
      <c r="E46" s="89"/>
      <c r="F46" s="85"/>
      <c r="G46" s="89">
        <v>125</v>
      </c>
      <c r="H46" s="89"/>
      <c r="I46" s="85"/>
      <c r="J46" s="89">
        <v>145</v>
      </c>
      <c r="K46" s="89"/>
      <c r="L46" s="85"/>
      <c r="M46" s="89">
        <v>165</v>
      </c>
      <c r="N46" s="89"/>
    </row>
    <row r="47" spans="1:17">
      <c r="A47" s="89">
        <v>86</v>
      </c>
      <c r="B47" s="89"/>
      <c r="C47" s="85"/>
      <c r="D47" s="89">
        <v>106</v>
      </c>
      <c r="E47" s="89"/>
      <c r="F47" s="85"/>
      <c r="G47" s="89">
        <v>126</v>
      </c>
      <c r="H47" s="89"/>
      <c r="I47" s="85"/>
      <c r="J47" s="89">
        <v>146</v>
      </c>
      <c r="K47" s="89"/>
      <c r="L47" s="85"/>
      <c r="M47" s="89">
        <v>166</v>
      </c>
      <c r="N47" s="89"/>
    </row>
    <row r="48" spans="1:17">
      <c r="A48" s="89">
        <v>87</v>
      </c>
      <c r="B48" s="89"/>
      <c r="C48" s="85"/>
      <c r="D48" s="89">
        <v>107</v>
      </c>
      <c r="E48" s="89"/>
      <c r="F48" s="85"/>
      <c r="G48" s="89">
        <v>127</v>
      </c>
      <c r="H48" s="89"/>
      <c r="I48" s="85"/>
      <c r="J48" s="89">
        <v>147</v>
      </c>
      <c r="K48" s="89"/>
      <c r="L48" s="85"/>
      <c r="M48" s="89">
        <v>167</v>
      </c>
      <c r="N48" s="89"/>
    </row>
    <row r="49" spans="1:14">
      <c r="A49" s="89">
        <v>88</v>
      </c>
      <c r="B49" s="89"/>
      <c r="C49" s="85"/>
      <c r="D49" s="89">
        <v>108</v>
      </c>
      <c r="E49" s="89"/>
      <c r="F49" s="85"/>
      <c r="G49" s="89">
        <v>128</v>
      </c>
      <c r="H49" s="89"/>
      <c r="I49" s="85"/>
      <c r="J49" s="89">
        <v>148</v>
      </c>
      <c r="K49" s="89"/>
      <c r="L49" s="85"/>
      <c r="M49" s="89">
        <v>168</v>
      </c>
      <c r="N49" s="89"/>
    </row>
    <row r="50" spans="1:14">
      <c r="A50" s="89">
        <v>89</v>
      </c>
      <c r="B50" s="89"/>
      <c r="C50" s="85"/>
      <c r="D50" s="89">
        <v>109</v>
      </c>
      <c r="E50" s="89"/>
      <c r="F50" s="85"/>
      <c r="G50" s="89">
        <v>129</v>
      </c>
      <c r="H50" s="89"/>
      <c r="I50" s="85"/>
      <c r="J50" s="89">
        <v>149</v>
      </c>
      <c r="K50" s="89"/>
      <c r="L50" s="85"/>
      <c r="M50" s="89">
        <v>169</v>
      </c>
      <c r="N50" s="89"/>
    </row>
    <row r="51" spans="1:14">
      <c r="A51" s="89">
        <v>90</v>
      </c>
      <c r="B51" s="89"/>
      <c r="C51" s="85"/>
      <c r="D51" s="89">
        <v>110</v>
      </c>
      <c r="E51" s="89"/>
      <c r="F51" s="85"/>
      <c r="G51" s="89">
        <v>130</v>
      </c>
      <c r="H51" s="89"/>
      <c r="I51" s="85"/>
      <c r="J51" s="89">
        <v>150</v>
      </c>
      <c r="K51" s="89"/>
      <c r="L51" s="85"/>
      <c r="M51" s="89">
        <v>170</v>
      </c>
      <c r="N51" s="89"/>
    </row>
    <row r="52" spans="1:14">
      <c r="A52" s="89">
        <v>91</v>
      </c>
      <c r="B52" s="89"/>
      <c r="C52" s="85"/>
      <c r="D52" s="89">
        <v>111</v>
      </c>
      <c r="E52" s="89"/>
      <c r="F52" s="85"/>
      <c r="G52" s="89">
        <v>131</v>
      </c>
      <c r="H52" s="89"/>
      <c r="I52" s="85"/>
      <c r="J52" s="89">
        <v>151</v>
      </c>
      <c r="K52" s="89"/>
      <c r="L52" s="85"/>
      <c r="M52" s="89">
        <v>171</v>
      </c>
      <c r="N52" s="89"/>
    </row>
    <row r="53" spans="1:14">
      <c r="A53" s="89">
        <v>92</v>
      </c>
      <c r="B53" s="89"/>
      <c r="C53" s="85"/>
      <c r="D53" s="89">
        <v>112</v>
      </c>
      <c r="E53" s="89"/>
      <c r="F53" s="85"/>
      <c r="G53" s="89">
        <v>132</v>
      </c>
      <c r="H53" s="89"/>
      <c r="I53" s="85"/>
      <c r="J53" s="89">
        <v>152</v>
      </c>
      <c r="K53" s="89"/>
      <c r="L53" s="85"/>
      <c r="M53" s="89">
        <v>172</v>
      </c>
      <c r="N53" s="89"/>
    </row>
    <row r="54" spans="1:14">
      <c r="A54" s="89">
        <v>93</v>
      </c>
      <c r="B54" s="89"/>
      <c r="C54" s="85"/>
      <c r="D54" s="89">
        <v>113</v>
      </c>
      <c r="E54" s="89"/>
      <c r="F54" s="85"/>
      <c r="G54" s="89">
        <v>133</v>
      </c>
      <c r="H54" s="89"/>
      <c r="I54" s="85"/>
      <c r="J54" s="89">
        <v>153</v>
      </c>
      <c r="K54" s="89"/>
      <c r="L54" s="85"/>
      <c r="M54" s="89">
        <v>173</v>
      </c>
      <c r="N54" s="89"/>
    </row>
    <row r="55" spans="1:14">
      <c r="A55" s="89">
        <v>94</v>
      </c>
      <c r="B55" s="89"/>
      <c r="C55" s="85"/>
      <c r="D55" s="89">
        <v>114</v>
      </c>
      <c r="E55" s="89"/>
      <c r="F55" s="85"/>
      <c r="G55" s="89">
        <v>134</v>
      </c>
      <c r="H55" s="89"/>
      <c r="I55" s="85"/>
      <c r="J55" s="89">
        <v>154</v>
      </c>
      <c r="K55" s="89"/>
      <c r="L55" s="85"/>
      <c r="M55" s="89">
        <v>174</v>
      </c>
      <c r="N55" s="89"/>
    </row>
    <row r="56" spans="1:14">
      <c r="A56" s="89">
        <v>95</v>
      </c>
      <c r="B56" s="89"/>
      <c r="C56" s="85"/>
      <c r="D56" s="89">
        <v>115</v>
      </c>
      <c r="E56" s="89"/>
      <c r="F56" s="85"/>
      <c r="G56" s="89">
        <v>135</v>
      </c>
      <c r="H56" s="89"/>
      <c r="I56" s="85"/>
      <c r="J56" s="89">
        <v>155</v>
      </c>
      <c r="K56" s="89"/>
      <c r="L56" s="85"/>
      <c r="M56" s="89">
        <v>175</v>
      </c>
      <c r="N56" s="89"/>
    </row>
    <row r="57" spans="1:14">
      <c r="A57" s="89">
        <v>96</v>
      </c>
      <c r="B57" s="89"/>
      <c r="C57" s="85"/>
      <c r="D57" s="89">
        <v>116</v>
      </c>
      <c r="E57" s="89"/>
      <c r="F57" s="85"/>
      <c r="G57" s="89">
        <v>136</v>
      </c>
      <c r="H57" s="89"/>
      <c r="I57" s="85"/>
      <c r="J57" s="89">
        <v>156</v>
      </c>
      <c r="K57" s="89"/>
      <c r="L57" s="85"/>
      <c r="M57" s="89">
        <v>176</v>
      </c>
      <c r="N57" s="89"/>
    </row>
    <row r="59" spans="1:14">
      <c r="A59" s="89" t="s">
        <v>2</v>
      </c>
      <c r="B59" s="89"/>
      <c r="D59" s="89" t="s">
        <v>2</v>
      </c>
      <c r="E59" s="89"/>
      <c r="G59" s="89" t="s">
        <v>2</v>
      </c>
      <c r="H59" s="89"/>
      <c r="J59" s="89" t="s">
        <v>2</v>
      </c>
      <c r="K59" s="89"/>
      <c r="M59" s="89" t="s">
        <v>2</v>
      </c>
      <c r="N59" s="89"/>
    </row>
  </sheetData>
  <mergeCells count="29">
    <mergeCell ref="P36:Q36"/>
    <mergeCell ref="K23:M23"/>
    <mergeCell ref="K24:M24"/>
    <mergeCell ref="K25:M25"/>
    <mergeCell ref="K26:M26"/>
    <mergeCell ref="K27:M27"/>
    <mergeCell ref="A36:B36"/>
    <mergeCell ref="D36:E36"/>
    <mergeCell ref="G36:H36"/>
    <mergeCell ref="J36:K36"/>
    <mergeCell ref="M36:N36"/>
    <mergeCell ref="K22:M22"/>
    <mergeCell ref="K11:M11"/>
    <mergeCell ref="K12:M12"/>
    <mergeCell ref="K13:M13"/>
    <mergeCell ref="K14:M14"/>
    <mergeCell ref="K15:M15"/>
    <mergeCell ref="K16:M16"/>
    <mergeCell ref="K17:M17"/>
    <mergeCell ref="K18:M18"/>
    <mergeCell ref="K19:M19"/>
    <mergeCell ref="K20:M20"/>
    <mergeCell ref="K21:M21"/>
    <mergeCell ref="A1:N1"/>
    <mergeCell ref="A2:N2"/>
    <mergeCell ref="A10:B10"/>
    <mergeCell ref="D10:E10"/>
    <mergeCell ref="G10:H10"/>
    <mergeCell ref="J10:M10"/>
  </mergeCells>
  <pageMargins left="0.61" right="0.25" top="0.5" bottom="0.34" header="0.3" footer="0.19"/>
  <pageSetup paperSize="5" orientation="portrait" horizontalDpi="4294967294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E55"/>
  <sheetViews>
    <sheetView zoomScale="110" zoomScaleNormal="110" workbookViewId="0">
      <selection activeCell="B58" sqref="B58"/>
    </sheetView>
  </sheetViews>
  <sheetFormatPr defaultColWidth="9.1796875" defaultRowHeight="14.5"/>
  <cols>
    <col min="1" max="1" width="4.54296875" style="91" customWidth="1"/>
    <col min="2" max="2" width="18.453125" style="91" customWidth="1"/>
    <col min="3" max="3" width="24.54296875" style="91" customWidth="1"/>
    <col min="4" max="4" width="23.81640625" style="91" customWidth="1"/>
    <col min="5" max="5" width="18.54296875" style="91" customWidth="1"/>
    <col min="6" max="16384" width="9.1796875" style="91"/>
  </cols>
  <sheetData>
    <row r="2" spans="1:5" s="94" customFormat="1">
      <c r="A2" s="221" t="s">
        <v>247</v>
      </c>
      <c r="B2" s="221"/>
      <c r="C2" s="221"/>
      <c r="D2" s="221"/>
      <c r="E2" s="221"/>
    </row>
    <row r="3" spans="1:5" s="94" customFormat="1">
      <c r="A3" s="95" t="s">
        <v>96</v>
      </c>
      <c r="B3" s="95" t="s">
        <v>246</v>
      </c>
      <c r="C3" s="95" t="s">
        <v>245</v>
      </c>
      <c r="D3" s="95" t="s">
        <v>244</v>
      </c>
      <c r="E3" s="95" t="s">
        <v>243</v>
      </c>
    </row>
    <row r="4" spans="1:5">
      <c r="A4" s="218" t="s">
        <v>242</v>
      </c>
      <c r="B4" s="92" t="s">
        <v>241</v>
      </c>
      <c r="C4" s="92" t="s">
        <v>240</v>
      </c>
      <c r="D4" s="92" t="s">
        <v>239</v>
      </c>
      <c r="E4" s="92" t="s">
        <v>238</v>
      </c>
    </row>
    <row r="5" spans="1:5">
      <c r="A5" s="219"/>
      <c r="B5" s="92"/>
      <c r="C5" s="92" t="s">
        <v>237</v>
      </c>
      <c r="D5" s="92" t="s">
        <v>236</v>
      </c>
      <c r="E5" s="92"/>
    </row>
    <row r="6" spans="1:5" ht="6.75" customHeight="1">
      <c r="A6" s="215"/>
      <c r="B6" s="216"/>
      <c r="C6" s="216"/>
      <c r="D6" s="216"/>
      <c r="E6" s="217"/>
    </row>
    <row r="7" spans="1:5">
      <c r="A7" s="218" t="s">
        <v>235</v>
      </c>
      <c r="B7" s="92" t="s">
        <v>234</v>
      </c>
      <c r="C7" s="92" t="s">
        <v>233</v>
      </c>
      <c r="D7" s="92" t="s">
        <v>232</v>
      </c>
      <c r="E7" s="92" t="s">
        <v>231</v>
      </c>
    </row>
    <row r="8" spans="1:5">
      <c r="A8" s="219"/>
      <c r="B8" s="92"/>
      <c r="C8" s="92" t="s">
        <v>230</v>
      </c>
      <c r="D8" s="92" t="s">
        <v>229</v>
      </c>
      <c r="E8" s="92"/>
    </row>
    <row r="9" spans="1:5" ht="6.75" customHeight="1">
      <c r="A9" s="215"/>
      <c r="B9" s="216"/>
      <c r="C9" s="216"/>
      <c r="D9" s="216"/>
      <c r="E9" s="217"/>
    </row>
    <row r="10" spans="1:5">
      <c r="A10" s="218" t="s">
        <v>228</v>
      </c>
      <c r="B10" s="92" t="s">
        <v>227</v>
      </c>
      <c r="C10" s="92" t="s">
        <v>226</v>
      </c>
      <c r="D10" s="92" t="s">
        <v>225</v>
      </c>
      <c r="E10" s="92"/>
    </row>
    <row r="11" spans="1:5">
      <c r="A11" s="219"/>
      <c r="B11" s="92"/>
      <c r="C11" s="92" t="s">
        <v>224</v>
      </c>
      <c r="D11" s="92" t="s">
        <v>223</v>
      </c>
      <c r="E11" s="92"/>
    </row>
    <row r="12" spans="1:5" ht="6.75" customHeight="1">
      <c r="A12" s="215"/>
      <c r="B12" s="216"/>
      <c r="C12" s="216"/>
      <c r="D12" s="216"/>
      <c r="E12" s="217"/>
    </row>
    <row r="13" spans="1:5">
      <c r="A13" s="93" t="s">
        <v>222</v>
      </c>
      <c r="B13" s="92" t="s">
        <v>221</v>
      </c>
      <c r="C13" s="92" t="s">
        <v>220</v>
      </c>
      <c r="D13" s="92" t="s">
        <v>219</v>
      </c>
      <c r="E13" s="92" t="s">
        <v>218</v>
      </c>
    </row>
    <row r="14" spans="1:5" ht="6.75" customHeight="1">
      <c r="A14" s="215"/>
      <c r="B14" s="216"/>
      <c r="C14" s="216"/>
      <c r="D14" s="216"/>
      <c r="E14" s="217"/>
    </row>
    <row r="15" spans="1:5">
      <c r="A15" s="218" t="s">
        <v>217</v>
      </c>
      <c r="B15" s="92" t="s">
        <v>216</v>
      </c>
      <c r="C15" s="92" t="s">
        <v>215</v>
      </c>
      <c r="D15" s="92" t="s">
        <v>214</v>
      </c>
      <c r="E15" s="92"/>
    </row>
    <row r="16" spans="1:5">
      <c r="A16" s="220"/>
      <c r="B16" s="92" t="s">
        <v>213</v>
      </c>
      <c r="C16" s="92" t="s">
        <v>212</v>
      </c>
      <c r="D16" s="92" t="s">
        <v>211</v>
      </c>
      <c r="E16" s="92"/>
    </row>
    <row r="17" spans="1:5">
      <c r="A17" s="219"/>
      <c r="B17" s="92"/>
      <c r="C17" s="92"/>
      <c r="D17" s="92" t="s">
        <v>210</v>
      </c>
      <c r="E17" s="92"/>
    </row>
    <row r="18" spans="1:5" ht="6.75" customHeight="1">
      <c r="A18" s="92"/>
      <c r="B18" s="92"/>
      <c r="C18" s="92"/>
      <c r="D18" s="92"/>
      <c r="E18" s="92"/>
    </row>
    <row r="19" spans="1:5">
      <c r="A19" s="218" t="s">
        <v>209</v>
      </c>
      <c r="B19" s="92" t="s">
        <v>208</v>
      </c>
      <c r="C19" s="92" t="s">
        <v>207</v>
      </c>
      <c r="D19" s="92" t="s">
        <v>206</v>
      </c>
      <c r="E19" s="92" t="s">
        <v>205</v>
      </c>
    </row>
    <row r="20" spans="1:5">
      <c r="A20" s="219"/>
      <c r="B20" s="92"/>
      <c r="C20" s="92" t="s">
        <v>204</v>
      </c>
      <c r="D20" s="92"/>
      <c r="E20" s="92" t="s">
        <v>203</v>
      </c>
    </row>
    <row r="21" spans="1:5" ht="6.75" customHeight="1">
      <c r="A21" s="215"/>
      <c r="B21" s="216"/>
      <c r="C21" s="216"/>
      <c r="D21" s="216"/>
      <c r="E21" s="217"/>
    </row>
    <row r="22" spans="1:5">
      <c r="A22" s="218" t="s">
        <v>202</v>
      </c>
      <c r="B22" s="92" t="s">
        <v>201</v>
      </c>
      <c r="C22" s="92" t="s">
        <v>200</v>
      </c>
      <c r="D22" s="92" t="s">
        <v>199</v>
      </c>
      <c r="E22" s="92" t="s">
        <v>198</v>
      </c>
    </row>
    <row r="23" spans="1:5">
      <c r="A23" s="220"/>
      <c r="B23" s="92"/>
      <c r="C23" s="92"/>
      <c r="D23" s="92" t="s">
        <v>197</v>
      </c>
      <c r="E23" s="92"/>
    </row>
    <row r="24" spans="1:5">
      <c r="A24" s="219"/>
      <c r="B24" s="92"/>
      <c r="C24" s="92"/>
      <c r="D24" s="92" t="s">
        <v>196</v>
      </c>
      <c r="E24" s="92"/>
    </row>
    <row r="25" spans="1:5" ht="6.75" customHeight="1">
      <c r="A25" s="215"/>
      <c r="B25" s="216"/>
      <c r="C25" s="216"/>
      <c r="D25" s="216"/>
      <c r="E25" s="217"/>
    </row>
    <row r="26" spans="1:5">
      <c r="A26" s="218" t="s">
        <v>195</v>
      </c>
      <c r="B26" s="92" t="s">
        <v>194</v>
      </c>
      <c r="C26" s="92" t="s">
        <v>193</v>
      </c>
      <c r="D26" s="92" t="s">
        <v>192</v>
      </c>
      <c r="E26" s="92" t="s">
        <v>191</v>
      </c>
    </row>
    <row r="27" spans="1:5">
      <c r="A27" s="220"/>
      <c r="B27" s="92"/>
      <c r="C27" s="92" t="s">
        <v>190</v>
      </c>
      <c r="D27" s="92" t="s">
        <v>189</v>
      </c>
      <c r="E27" s="92"/>
    </row>
    <row r="28" spans="1:5">
      <c r="A28" s="219"/>
      <c r="B28" s="92"/>
      <c r="C28" s="92" t="s">
        <v>188</v>
      </c>
      <c r="D28" s="92"/>
      <c r="E28" s="92"/>
    </row>
    <row r="29" spans="1:5" ht="6.75" customHeight="1">
      <c r="A29" s="215"/>
      <c r="B29" s="216"/>
      <c r="C29" s="216"/>
      <c r="D29" s="216"/>
      <c r="E29" s="217"/>
    </row>
    <row r="30" spans="1:5">
      <c r="A30" s="218" t="s">
        <v>187</v>
      </c>
      <c r="B30" s="92" t="s">
        <v>186</v>
      </c>
      <c r="C30" s="92" t="s">
        <v>185</v>
      </c>
      <c r="D30" s="92" t="s">
        <v>184</v>
      </c>
      <c r="E30" s="92" t="s">
        <v>183</v>
      </c>
    </row>
    <row r="31" spans="1:5">
      <c r="A31" s="220"/>
      <c r="B31" s="92"/>
      <c r="C31" s="92" t="s">
        <v>182</v>
      </c>
      <c r="D31" s="92" t="s">
        <v>181</v>
      </c>
      <c r="E31" s="92" t="s">
        <v>180</v>
      </c>
    </row>
    <row r="32" spans="1:5">
      <c r="A32" s="219"/>
      <c r="B32" s="92"/>
      <c r="C32" s="92" t="s">
        <v>179</v>
      </c>
      <c r="D32" s="92"/>
      <c r="E32" s="92"/>
    </row>
    <row r="33" spans="1:5" ht="6.75" customHeight="1">
      <c r="A33" s="215"/>
      <c r="B33" s="216"/>
      <c r="C33" s="216"/>
      <c r="D33" s="216"/>
      <c r="E33" s="217"/>
    </row>
    <row r="34" spans="1:5">
      <c r="A34" s="218" t="s">
        <v>178</v>
      </c>
      <c r="B34" s="92" t="s">
        <v>177</v>
      </c>
      <c r="C34" s="92" t="s">
        <v>176</v>
      </c>
      <c r="D34" s="92" t="s">
        <v>175</v>
      </c>
      <c r="E34" s="92" t="s">
        <v>174</v>
      </c>
    </row>
    <row r="35" spans="1:5">
      <c r="A35" s="219"/>
      <c r="B35" s="92"/>
      <c r="C35" s="92" t="s">
        <v>173</v>
      </c>
      <c r="D35" s="92" t="s">
        <v>172</v>
      </c>
      <c r="E35" s="92"/>
    </row>
    <row r="36" spans="1:5" ht="6.75" customHeight="1">
      <c r="A36" s="215"/>
      <c r="B36" s="216"/>
      <c r="C36" s="216"/>
      <c r="D36" s="216"/>
      <c r="E36" s="217"/>
    </row>
    <row r="37" spans="1:5">
      <c r="A37" s="218" t="s">
        <v>171</v>
      </c>
      <c r="B37" s="92" t="s">
        <v>170</v>
      </c>
      <c r="C37" s="92" t="s">
        <v>169</v>
      </c>
      <c r="D37" s="92" t="s">
        <v>168</v>
      </c>
      <c r="E37" s="92" t="s">
        <v>167</v>
      </c>
    </row>
    <row r="38" spans="1:5">
      <c r="A38" s="219"/>
      <c r="B38" s="92"/>
      <c r="C38" s="92" t="s">
        <v>166</v>
      </c>
      <c r="D38" s="92" t="s">
        <v>165</v>
      </c>
      <c r="E38" s="92" t="s">
        <v>164</v>
      </c>
    </row>
    <row r="39" spans="1:5" ht="6.75" customHeight="1">
      <c r="A39" s="215"/>
      <c r="B39" s="216"/>
      <c r="C39" s="216"/>
      <c r="D39" s="216"/>
      <c r="E39" s="217"/>
    </row>
    <row r="40" spans="1:5">
      <c r="A40" s="218" t="s">
        <v>163</v>
      </c>
      <c r="B40" s="92" t="s">
        <v>162</v>
      </c>
      <c r="C40" s="92" t="s">
        <v>161</v>
      </c>
      <c r="D40" s="92" t="s">
        <v>160</v>
      </c>
      <c r="E40" s="92" t="s">
        <v>159</v>
      </c>
    </row>
    <row r="41" spans="1:5">
      <c r="A41" s="219"/>
      <c r="B41" s="92"/>
      <c r="C41" s="92" t="s">
        <v>158</v>
      </c>
      <c r="D41" s="92" t="s">
        <v>157</v>
      </c>
      <c r="E41" s="92"/>
    </row>
    <row r="42" spans="1:5" ht="6.75" customHeight="1">
      <c r="A42" s="215"/>
      <c r="B42" s="216"/>
      <c r="C42" s="216"/>
      <c r="D42" s="216"/>
      <c r="E42" s="217"/>
    </row>
    <row r="43" spans="1:5">
      <c r="A43" s="218" t="s">
        <v>156</v>
      </c>
      <c r="B43" s="92" t="s">
        <v>155</v>
      </c>
      <c r="C43" s="92" t="s">
        <v>154</v>
      </c>
      <c r="D43" s="92" t="s">
        <v>153</v>
      </c>
      <c r="E43" s="92" t="s">
        <v>152</v>
      </c>
    </row>
    <row r="44" spans="1:5">
      <c r="A44" s="219"/>
      <c r="B44" s="92"/>
      <c r="C44" s="92" t="s">
        <v>151</v>
      </c>
      <c r="D44" s="92" t="s">
        <v>150</v>
      </c>
      <c r="E44" s="92" t="s">
        <v>149</v>
      </c>
    </row>
    <row r="45" spans="1:5" ht="6.75" customHeight="1">
      <c r="A45" s="215"/>
      <c r="B45" s="216"/>
      <c r="C45" s="216"/>
      <c r="D45" s="216"/>
      <c r="E45" s="217"/>
    </row>
    <row r="46" spans="1:5">
      <c r="A46" s="218" t="s">
        <v>148</v>
      </c>
      <c r="B46" s="92" t="s">
        <v>147</v>
      </c>
      <c r="C46" s="92" t="s">
        <v>146</v>
      </c>
      <c r="D46" s="92" t="s">
        <v>145</v>
      </c>
      <c r="E46" s="92" t="s">
        <v>144</v>
      </c>
    </row>
    <row r="47" spans="1:5">
      <c r="A47" s="219"/>
      <c r="B47" s="92"/>
      <c r="C47" s="92" t="s">
        <v>143</v>
      </c>
      <c r="D47" s="92"/>
      <c r="E47" s="92" t="s">
        <v>142</v>
      </c>
    </row>
    <row r="48" spans="1:5" ht="6.75" customHeight="1">
      <c r="A48" s="215"/>
      <c r="B48" s="216"/>
      <c r="C48" s="216"/>
      <c r="D48" s="216"/>
      <c r="E48" s="217"/>
    </row>
    <row r="49" spans="1:5">
      <c r="A49" s="218" t="s">
        <v>141</v>
      </c>
      <c r="B49" s="92" t="s">
        <v>140</v>
      </c>
      <c r="C49" s="92" t="s">
        <v>139</v>
      </c>
      <c r="D49" s="92" t="s">
        <v>138</v>
      </c>
      <c r="E49" s="92" t="s">
        <v>137</v>
      </c>
    </row>
    <row r="50" spans="1:5">
      <c r="A50" s="220"/>
      <c r="B50" s="92" t="s">
        <v>136</v>
      </c>
      <c r="C50" s="92" t="s">
        <v>135</v>
      </c>
      <c r="D50" s="92" t="s">
        <v>134</v>
      </c>
      <c r="E50" s="92"/>
    </row>
    <row r="51" spans="1:5">
      <c r="A51" s="219"/>
      <c r="B51" s="92"/>
      <c r="C51" s="92"/>
      <c r="D51" s="92" t="s">
        <v>133</v>
      </c>
      <c r="E51" s="92"/>
    </row>
    <row r="52" spans="1:5" ht="6.75" customHeight="1">
      <c r="A52" s="215"/>
      <c r="B52" s="216"/>
      <c r="C52" s="216"/>
      <c r="D52" s="216"/>
      <c r="E52" s="217"/>
    </row>
    <row r="53" spans="1:5">
      <c r="A53" s="218" t="s">
        <v>132</v>
      </c>
      <c r="B53" s="92" t="s">
        <v>131</v>
      </c>
      <c r="C53" s="92" t="s">
        <v>130</v>
      </c>
      <c r="D53" s="92" t="s">
        <v>129</v>
      </c>
      <c r="E53" s="92" t="s">
        <v>128</v>
      </c>
    </row>
    <row r="54" spans="1:5">
      <c r="A54" s="220"/>
      <c r="B54" s="92"/>
      <c r="C54" s="92" t="s">
        <v>127</v>
      </c>
      <c r="D54" s="92" t="s">
        <v>126</v>
      </c>
      <c r="E54" s="92" t="s">
        <v>125</v>
      </c>
    </row>
    <row r="55" spans="1:5">
      <c r="A55" s="219"/>
      <c r="B55" s="92"/>
      <c r="C55" s="92"/>
      <c r="D55" s="92" t="s">
        <v>124</v>
      </c>
      <c r="E55" s="92"/>
    </row>
  </sheetData>
  <sheetProtection algorithmName="SHA-512" hashValue="jQTXed/Dp6AsvIfhgMtyaa4AySaYFNvfDHFOyyOKoVNQ1ddjwsANOPLkmVOjmwMXJdLUvEktBItfmiS9uiV8Kw==" saltValue="oHPYP5Yz2a2FclMTrx/3cQ==" spinCount="100000" sheet="1" objects="1" scenarios="1"/>
  <mergeCells count="30">
    <mergeCell ref="A6:E6"/>
    <mergeCell ref="A42:E42"/>
    <mergeCell ref="A2:E2"/>
    <mergeCell ref="A4:A5"/>
    <mergeCell ref="A7:A8"/>
    <mergeCell ref="A10:A11"/>
    <mergeCell ref="A15:A17"/>
    <mergeCell ref="A22:A24"/>
    <mergeCell ref="A26:A28"/>
    <mergeCell ref="A30:A32"/>
    <mergeCell ref="A34:A35"/>
    <mergeCell ref="A9:E9"/>
    <mergeCell ref="A39:E39"/>
    <mergeCell ref="A19:A20"/>
    <mergeCell ref="A40:A41"/>
    <mergeCell ref="A21:E21"/>
    <mergeCell ref="A43:A44"/>
    <mergeCell ref="A46:A47"/>
    <mergeCell ref="A49:A51"/>
    <mergeCell ref="A53:A55"/>
    <mergeCell ref="A52:E52"/>
    <mergeCell ref="A48:E48"/>
    <mergeCell ref="A45:E45"/>
    <mergeCell ref="A14:E14"/>
    <mergeCell ref="A12:E12"/>
    <mergeCell ref="A37:A38"/>
    <mergeCell ref="A25:E25"/>
    <mergeCell ref="A29:E29"/>
    <mergeCell ref="A33:E33"/>
    <mergeCell ref="A36:E36"/>
  </mergeCells>
  <pageMargins left="0.7" right="0.7" top="0.75" bottom="0.61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Panduan</vt:lpstr>
      <vt:lpstr>IST</vt:lpstr>
      <vt:lpstr>Bantuan</vt:lpstr>
      <vt:lpstr>Kunci Soal 1-3,7-9</vt:lpstr>
      <vt:lpstr>KUNCI IST (2)</vt:lpstr>
      <vt:lpstr>Kunci Soal 4</vt:lpstr>
      <vt:lpstr>IST!Print_Area</vt:lpstr>
      <vt:lpstr>'KUNCI IST (2)'!Print_Area</vt:lpstr>
      <vt:lpstr>'Kunci Soal 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</dc:creator>
  <cp:lastModifiedBy>aswel</cp:lastModifiedBy>
  <cp:lastPrinted>2015-03-18T05:08:07Z</cp:lastPrinted>
  <dcterms:created xsi:type="dcterms:W3CDTF">2012-11-25T02:36:25Z</dcterms:created>
  <dcterms:modified xsi:type="dcterms:W3CDTF">2019-10-16T05:33:27Z</dcterms:modified>
</cp:coreProperties>
</file>